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17F0F557-D2FE-4E0F-A396-F8E68316F3BB}" xr6:coauthVersionLast="31" xr6:coauthVersionMax="31" xr10:uidLastSave="{00000000-0000-0000-0000-000000000000}"/>
  <bookViews>
    <workbookView xWindow="5415" yWindow="465" windowWidth="28035" windowHeight="17535" firstSheet="2" activeTab="2" xr2:uid="{00000000-000D-0000-FFFF-FFFF00000000}"/>
  </bookViews>
  <sheets>
    <sheet name="diary-1.0" sheetId="1" state="hidden" r:id="rId1"/>
    <sheet name="Sheet4" sheetId="4" state="hidden" r:id="rId2"/>
    <sheet name="diary-2.0" sheetId="2" r:id="rId3"/>
    <sheet name="diary-2.0-list" sheetId="3" r:id="rId4"/>
    <sheet name="measures" sheetId="5" r:id="rId5"/>
    <sheet name="food-plan-FEB-MAR" sheetId="6" r:id="rId6"/>
  </sheets>
  <calcPr calcId="179017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39" i="2" l="1"/>
  <c r="G140" i="2"/>
  <c r="G141" i="2"/>
  <c r="G142" i="2"/>
  <c r="G143" i="2"/>
  <c r="G144" i="2"/>
  <c r="G145" i="2"/>
  <c r="G138" i="2"/>
  <c r="D142" i="2"/>
  <c r="D141" i="2"/>
  <c r="D140" i="2"/>
  <c r="D139" i="2"/>
  <c r="D138" i="2"/>
  <c r="G129" i="2" l="1"/>
  <c r="G130" i="2"/>
  <c r="G131" i="2"/>
  <c r="G132" i="2"/>
  <c r="D135" i="2"/>
  <c r="G135" i="2" s="1"/>
  <c r="D134" i="2"/>
  <c r="G134" i="2" s="1"/>
  <c r="D133" i="2"/>
  <c r="G133" i="2" s="1"/>
  <c r="D132" i="2"/>
  <c r="G123" i="2" l="1"/>
  <c r="D128" i="2"/>
  <c r="G128" i="2" s="1"/>
  <c r="D127" i="2"/>
  <c r="G127" i="2" s="1"/>
  <c r="D126" i="2"/>
  <c r="G126" i="2" s="1"/>
  <c r="D125" i="2"/>
  <c r="G125" i="2" s="1"/>
  <c r="D124" i="2"/>
  <c r="G124" i="2" s="1"/>
  <c r="D122" i="2"/>
  <c r="G122" i="2" s="1"/>
  <c r="G115" i="2"/>
  <c r="G116" i="2"/>
  <c r="G117" i="2"/>
  <c r="G118" i="2"/>
  <c r="G119" i="2"/>
  <c r="G120" i="2"/>
  <c r="G121" i="2"/>
  <c r="D115" i="2"/>
  <c r="D114" i="2"/>
  <c r="G114" i="2" s="1"/>
  <c r="D113" i="2"/>
  <c r="G113" i="2" s="1"/>
  <c r="D112" i="2"/>
  <c r="G112" i="2" s="1"/>
  <c r="D111" i="2"/>
  <c r="G111" i="2" s="1"/>
  <c r="D98" i="2" l="1"/>
  <c r="G98" i="2" s="1"/>
  <c r="G97" i="2"/>
  <c r="G96" i="2"/>
  <c r="G95" i="2"/>
  <c r="G94" i="2"/>
  <c r="G93" i="2"/>
  <c r="G101" i="2"/>
  <c r="G102" i="2"/>
  <c r="G103" i="2"/>
  <c r="G107" i="2"/>
  <c r="G108" i="2"/>
  <c r="G109" i="2"/>
  <c r="G110" i="2"/>
  <c r="D106" i="2"/>
  <c r="G106" i="2" s="1"/>
  <c r="D105" i="2"/>
  <c r="G105" i="2" s="1"/>
  <c r="D104" i="2"/>
  <c r="G104" i="2" s="1"/>
  <c r="D100" i="2"/>
  <c r="G100" i="2" s="1"/>
  <c r="D99" i="2"/>
  <c r="G99" i="2" s="1"/>
  <c r="G87" i="2" l="1"/>
  <c r="G92" i="2"/>
  <c r="D91" i="2"/>
  <c r="G91" i="2" s="1"/>
  <c r="D90" i="2"/>
  <c r="G90" i="2" s="1"/>
  <c r="D89" i="2"/>
  <c r="G89" i="2" s="1"/>
  <c r="D88" i="2"/>
  <c r="G88" i="2" s="1"/>
  <c r="D86" i="2"/>
  <c r="G86" i="2" s="1"/>
  <c r="D85" i="2"/>
  <c r="G85" i="2" s="1"/>
  <c r="D84" i="2"/>
  <c r="G84" i="2" s="1"/>
  <c r="G83" i="2"/>
  <c r="D82" i="2"/>
  <c r="G82" i="2" s="1"/>
  <c r="D81" i="2"/>
  <c r="G81" i="2" s="1"/>
  <c r="D80" i="2"/>
  <c r="G80" i="2" s="1"/>
  <c r="D79" i="2"/>
  <c r="G79" i="2" s="1"/>
  <c r="D78" i="2"/>
  <c r="G78" i="2" s="1"/>
  <c r="D77" i="2"/>
  <c r="G77" i="2" s="1"/>
  <c r="D76" i="2"/>
  <c r="G76" i="2" s="1"/>
  <c r="D75" i="2"/>
  <c r="G75" i="2" s="1"/>
  <c r="D74" i="2"/>
  <c r="G74" i="2" s="1"/>
  <c r="G62" i="2"/>
  <c r="G63" i="2"/>
  <c r="G64" i="2"/>
  <c r="G65" i="2"/>
  <c r="G66" i="2"/>
  <c r="G67" i="2"/>
  <c r="G68" i="2"/>
  <c r="G69" i="2"/>
  <c r="G70" i="2"/>
  <c r="G71" i="2"/>
  <c r="G72" i="2"/>
  <c r="G73" i="2"/>
  <c r="G51" i="2"/>
  <c r="G52" i="2"/>
  <c r="G53" i="2"/>
  <c r="G54" i="2"/>
  <c r="D55" i="2"/>
  <c r="G55" i="2" s="1"/>
  <c r="G56" i="2"/>
  <c r="G57" i="2"/>
  <c r="G58" i="2"/>
  <c r="G59" i="2"/>
  <c r="G60" i="2"/>
  <c r="G61" i="2"/>
  <c r="G50" i="2"/>
  <c r="G49" i="2"/>
  <c r="G48" i="2"/>
  <c r="G47" i="2"/>
  <c r="G46" i="2"/>
  <c r="G45" i="2"/>
  <c r="G44" i="2"/>
  <c r="G43" i="2"/>
  <c r="G3" i="2"/>
  <c r="G4" i="2"/>
  <c r="G5" i="2"/>
  <c r="G6" i="2"/>
  <c r="G7" i="2"/>
  <c r="G8" i="2"/>
  <c r="G18" i="2"/>
  <c r="G19" i="2"/>
  <c r="G20" i="2"/>
  <c r="G21" i="2"/>
  <c r="G22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4" i="2"/>
  <c r="G25" i="2"/>
  <c r="G26" i="2"/>
  <c r="G27" i="2"/>
  <c r="G28" i="2"/>
  <c r="G29" i="2"/>
  <c r="G23" i="2"/>
  <c r="G11" i="2"/>
  <c r="G12" i="2"/>
  <c r="G13" i="2"/>
  <c r="G14" i="2"/>
  <c r="G15" i="2"/>
  <c r="G16" i="2"/>
  <c r="G17" i="2"/>
  <c r="G10" i="2"/>
</calcChain>
</file>

<file path=xl/sharedStrings.xml><?xml version="1.0" encoding="utf-8"?>
<sst xmlns="http://schemas.openxmlformats.org/spreadsheetml/2006/main" count="351" uniqueCount="148">
  <si>
    <t xml:space="preserve">Chest </t>
    <phoneticPr fontId="1" type="noConversion"/>
  </si>
  <si>
    <t>Tigh</t>
    <phoneticPr fontId="1" type="noConversion"/>
  </si>
  <si>
    <t>Arm</t>
    <phoneticPr fontId="1" type="noConversion"/>
  </si>
  <si>
    <t>Back</t>
    <phoneticPr fontId="1" type="noConversion"/>
  </si>
  <si>
    <t>Shoulder</t>
    <phoneticPr fontId="1" type="noConversion"/>
  </si>
  <si>
    <t>Push up</t>
    <phoneticPr fontId="1" type="noConversion"/>
  </si>
  <si>
    <t>Dumbbell Push up</t>
    <phoneticPr fontId="1" type="noConversion"/>
  </si>
  <si>
    <t>Barbell push up</t>
    <phoneticPr fontId="1" type="noConversion"/>
  </si>
  <si>
    <t>Body push up</t>
    <phoneticPr fontId="1" type="noConversion"/>
  </si>
  <si>
    <t>flat board</t>
    <phoneticPr fontId="1" type="noConversion"/>
  </si>
  <si>
    <t>incline</t>
    <phoneticPr fontId="1" type="noConversion"/>
  </si>
  <si>
    <t>Flat board</t>
    <phoneticPr fontId="1" type="noConversion"/>
  </si>
  <si>
    <t>Incline</t>
    <phoneticPr fontId="1" type="noConversion"/>
  </si>
  <si>
    <t>Deadlift</t>
    <phoneticPr fontId="1" type="noConversion"/>
  </si>
  <si>
    <t>Squart</t>
    <phoneticPr fontId="1" type="noConversion"/>
  </si>
  <si>
    <t>Curve Biceps</t>
    <phoneticPr fontId="1" type="noConversion"/>
  </si>
  <si>
    <t>Dumbbell</t>
    <phoneticPr fontId="1" type="noConversion"/>
  </si>
  <si>
    <t>Barbell</t>
    <phoneticPr fontId="1" type="noConversion"/>
  </si>
  <si>
    <t>sitting</t>
    <phoneticPr fontId="1" type="noConversion"/>
  </si>
  <si>
    <t>row</t>
    <phoneticPr fontId="1" type="noConversion"/>
  </si>
  <si>
    <t xml:space="preserve">bend over </t>
    <phoneticPr fontId="1" type="noConversion"/>
  </si>
  <si>
    <t>pull down</t>
    <phoneticPr fontId="1" type="noConversion"/>
  </si>
  <si>
    <t>bend single-hand</t>
    <phoneticPr fontId="1" type="noConversion"/>
  </si>
  <si>
    <t>sitting single pull over</t>
    <phoneticPr fontId="1" type="noConversion"/>
  </si>
  <si>
    <t>barbell push up</t>
    <phoneticPr fontId="1" type="noConversion"/>
  </si>
  <si>
    <t>standing dumbbell fly</t>
    <phoneticPr fontId="1" type="noConversion"/>
  </si>
  <si>
    <t>barbell pull up</t>
    <phoneticPr fontId="1" type="noConversion"/>
  </si>
  <si>
    <t>rep</t>
    <phoneticPr fontId="1" type="noConversion"/>
  </si>
  <si>
    <t>weight</t>
    <phoneticPr fontId="1" type="noConversion"/>
  </si>
  <si>
    <t>group</t>
    <phoneticPr fontId="1" type="noConversion"/>
  </si>
  <si>
    <t>27/12/2018</t>
    <phoneticPr fontId="1" type="noConversion"/>
  </si>
  <si>
    <t>weight</t>
    <phoneticPr fontId="1" type="noConversion"/>
  </si>
  <si>
    <t>rep</t>
    <phoneticPr fontId="1" type="noConversion"/>
  </si>
  <si>
    <t>set</t>
    <phoneticPr fontId="1" type="noConversion"/>
  </si>
  <si>
    <t>Dumbell shoulder pushup</t>
    <phoneticPr fontId="1" type="noConversion"/>
  </si>
  <si>
    <t>Anold press</t>
    <phoneticPr fontId="1" type="noConversion"/>
  </si>
  <si>
    <t>10x6x3</t>
    <phoneticPr fontId="1" type="noConversion"/>
  </si>
  <si>
    <t>10x4x1</t>
    <phoneticPr fontId="1" type="noConversion"/>
  </si>
  <si>
    <t>7.5x10x3</t>
    <phoneticPr fontId="1" type="noConversion"/>
  </si>
  <si>
    <t>10x5x1</t>
    <phoneticPr fontId="1" type="noConversion"/>
  </si>
  <si>
    <t>10x16x2</t>
    <phoneticPr fontId="1" type="noConversion"/>
  </si>
  <si>
    <t>40x6x4</t>
    <phoneticPr fontId="1" type="noConversion"/>
  </si>
  <si>
    <t>weight</t>
    <phoneticPr fontId="1" type="noConversion"/>
  </si>
  <si>
    <t>rep</t>
    <phoneticPr fontId="1" type="noConversion"/>
  </si>
  <si>
    <t>set</t>
    <phoneticPr fontId="1" type="noConversion"/>
  </si>
  <si>
    <t>蝴蝶夹胸</t>
    <phoneticPr fontId="1" type="noConversion"/>
  </si>
  <si>
    <t>Core</t>
    <phoneticPr fontId="1" type="noConversion"/>
  </si>
  <si>
    <t>双腿上提</t>
    <phoneticPr fontId="1" type="noConversion"/>
  </si>
  <si>
    <t>侧方位上提</t>
    <phoneticPr fontId="1" type="noConversion"/>
  </si>
  <si>
    <t>10*4</t>
    <phoneticPr fontId="1" type="noConversion"/>
  </si>
  <si>
    <t>平板支撑</t>
    <phoneticPr fontId="1" type="noConversion"/>
  </si>
  <si>
    <t>60*4</t>
    <phoneticPr fontId="1" type="noConversion"/>
  </si>
  <si>
    <t>卷福</t>
    <phoneticPr fontId="1" type="noConversion"/>
  </si>
  <si>
    <t>20*4</t>
    <phoneticPr fontId="1" type="noConversion"/>
  </si>
  <si>
    <t>20*10*4</t>
    <phoneticPr fontId="1" type="noConversion"/>
  </si>
  <si>
    <t>25*8*2</t>
    <phoneticPr fontId="1" type="noConversion"/>
  </si>
  <si>
    <t>7.5*10*4</t>
    <phoneticPr fontId="1" type="noConversion"/>
  </si>
  <si>
    <t>20*10*1</t>
    <phoneticPr fontId="1" type="noConversion"/>
  </si>
  <si>
    <t>30*10*2</t>
    <phoneticPr fontId="1" type="noConversion"/>
  </si>
  <si>
    <t>10*6*2</t>
    <phoneticPr fontId="1" type="noConversion"/>
  </si>
  <si>
    <t>40*10</t>
    <phoneticPr fontId="1" type="noConversion"/>
  </si>
  <si>
    <t>50*10*4</t>
    <phoneticPr fontId="1" type="noConversion"/>
  </si>
  <si>
    <t>20*6*3</t>
    <phoneticPr fontId="1" type="noConversion"/>
  </si>
  <si>
    <t>40*10*2</t>
    <phoneticPr fontId="1" type="noConversion"/>
  </si>
  <si>
    <t>40*6*3</t>
    <phoneticPr fontId="1" type="noConversion"/>
  </si>
  <si>
    <t>20*8*4</t>
    <phoneticPr fontId="1" type="noConversion"/>
  </si>
  <si>
    <t>Rep</t>
    <phoneticPr fontId="1" type="noConversion"/>
  </si>
  <si>
    <t>Exercise</t>
    <phoneticPr fontId="1" type="noConversion"/>
  </si>
  <si>
    <t>Date</t>
    <phoneticPr fontId="1" type="noConversion"/>
  </si>
  <si>
    <t>BodyPart</t>
    <phoneticPr fontId="1" type="noConversion"/>
  </si>
  <si>
    <t>exercise</t>
    <phoneticPr fontId="1" type="noConversion"/>
  </si>
  <si>
    <t>shoulder-barbell push up</t>
  </si>
  <si>
    <t>shoulder-barbell push up</t>
    <phoneticPr fontId="1" type="noConversion"/>
  </si>
  <si>
    <t>shoulder-anold push up</t>
  </si>
  <si>
    <t>shoulder-anold push up</t>
    <phoneticPr fontId="1" type="noConversion"/>
  </si>
  <si>
    <t>shoulder-dumbell push up</t>
  </si>
  <si>
    <t>shoulder-dumbell push up</t>
    <phoneticPr fontId="1" type="noConversion"/>
  </si>
  <si>
    <t>back-bend row</t>
  </si>
  <si>
    <t>back-bend row</t>
    <phoneticPr fontId="1" type="noConversion"/>
  </si>
  <si>
    <t>back-single hand row</t>
    <phoneticPr fontId="1" type="noConversion"/>
  </si>
  <si>
    <t>back-pull down</t>
    <phoneticPr fontId="1" type="noConversion"/>
  </si>
  <si>
    <t>back-single hand pull down</t>
    <phoneticPr fontId="1" type="noConversion"/>
  </si>
  <si>
    <t>thigh-squart</t>
  </si>
  <si>
    <t>thigh-squart</t>
    <phoneticPr fontId="1" type="noConversion"/>
  </si>
  <si>
    <t>thigh-deadlift</t>
  </si>
  <si>
    <t>thigh-deadlift</t>
    <phoneticPr fontId="1" type="noConversion"/>
  </si>
  <si>
    <t>chest-barbell push(flat bench)</t>
    <phoneticPr fontId="1" type="noConversion"/>
  </si>
  <si>
    <t>chest-barbell push(incline bench)</t>
    <phoneticPr fontId="1" type="noConversion"/>
  </si>
  <si>
    <t>chest-dumbbell push(incline bench)</t>
  </si>
  <si>
    <t>chest-dumbbell push(incline bench)</t>
    <phoneticPr fontId="1" type="noConversion"/>
  </si>
  <si>
    <t>chest-dumbbell push(flat bench)</t>
  </si>
  <si>
    <t>chest-dumbbell push(flat bench)</t>
    <phoneticPr fontId="1" type="noConversion"/>
  </si>
  <si>
    <t>chest-string pull together</t>
  </si>
  <si>
    <t>total lifting weight</t>
    <phoneticPr fontId="1" type="noConversion"/>
  </si>
  <si>
    <t>average lifting weight</t>
    <phoneticPr fontId="1" type="noConversion"/>
  </si>
  <si>
    <t>chest-barbell push(flat bench)</t>
  </si>
  <si>
    <t>chest-barbell push(incline bench)</t>
  </si>
  <si>
    <t>chest-string pull together(Upper chest)</t>
  </si>
  <si>
    <t>chest-string pull together(Upper chest)</t>
    <phoneticPr fontId="1" type="noConversion"/>
  </si>
  <si>
    <t>chest-string pull together(Middle chest)</t>
    <phoneticPr fontId="1" type="noConversion"/>
  </si>
  <si>
    <t>chest-string pull together(Lower chest)</t>
    <phoneticPr fontId="1" type="noConversion"/>
  </si>
  <si>
    <t>Comments</t>
    <phoneticPr fontId="1" type="noConversion"/>
  </si>
  <si>
    <t>eating a biandang at 10:45; performance is better than yesterday</t>
    <phoneticPr fontId="1" type="noConversion"/>
  </si>
  <si>
    <t>shoulder-fly</t>
  </si>
  <si>
    <t>back-pull down</t>
  </si>
  <si>
    <t>back-single hand pull down</t>
  </si>
  <si>
    <t>back-single hand row</t>
  </si>
  <si>
    <t>back-upper back full up</t>
  </si>
  <si>
    <t>back-upper back full up</t>
    <phoneticPr fontId="1" type="noConversion"/>
  </si>
  <si>
    <t>Arm-bicep-curve barbell</t>
  </si>
  <si>
    <t>Arm-bicep-curve barbell</t>
    <phoneticPr fontId="1" type="noConversion"/>
  </si>
  <si>
    <t>Arm-bicep-curve dumbbell</t>
  </si>
  <si>
    <t>Arm-bicep-curve dumbbell</t>
    <phoneticPr fontId="1" type="noConversion"/>
  </si>
  <si>
    <t>Arm-double-bar push up</t>
  </si>
  <si>
    <t>Arm-double-bar push up</t>
    <phoneticPr fontId="1" type="noConversion"/>
  </si>
  <si>
    <t>Arm-bicep-curve string</t>
  </si>
  <si>
    <t>Arm-bicep-curve string</t>
    <phoneticPr fontId="1" type="noConversion"/>
  </si>
  <si>
    <t xml:space="preserve">Arm-tricep-curve string </t>
  </si>
  <si>
    <t xml:space="preserve">Arm-tricep-curve string </t>
    <phoneticPr fontId="1" type="noConversion"/>
  </si>
  <si>
    <t>Break fast</t>
  </si>
  <si>
    <t>Lunch - post workout</t>
  </si>
  <si>
    <t>pre-workout snacks</t>
  </si>
  <si>
    <t>Dinner</t>
  </si>
  <si>
    <t>Carb</t>
  </si>
  <si>
    <t>Fat</t>
  </si>
  <si>
    <t>Protein</t>
  </si>
  <si>
    <t>Calories</t>
  </si>
  <si>
    <t>牛肉面
煎蛋
青菜
豆浆</t>
  </si>
  <si>
    <t>香蕉
咖啡</t>
  </si>
  <si>
    <t>馒头
红烧羊腿烧豌豆
水煮西蓝花</t>
  </si>
  <si>
    <t>牛奶
水煮青菜（饱腹感强，胡萝卜，萝卜，西蓝花，风味）
土豆肉丝 或者豆子烧肉</t>
  </si>
  <si>
    <t>馒头
鸡腿烧香菇
水煮西蓝花</t>
  </si>
  <si>
    <t>牛奶
水煮青菜（饱腹感强，胡萝卜，萝卜，西蓝花，风味）
土豆片回锅肉 或者豆子烧半肥瘦肉</t>
  </si>
  <si>
    <t>牛奶
水煮青菜（饱腹感强，胡萝卜，萝卜，西蓝花，风味）
土豆肉丝 或者豆子烧半肥瘦肉</t>
  </si>
  <si>
    <t>原料
香蕉5-10只
豌豆、黄豆 500g
西蓝花1000g
普通叶子青菜：500g
鸡蛋  10只
馒头或烧饼5-8个
鸡腿：4只（500g）
香菇：200g
胡萝卜：500g
土豆：小500g
猪肉：后退带肥瘦、或夹子肉 500-1000g</t>
  </si>
  <si>
    <t>back-pull up</t>
  </si>
  <si>
    <t>back-pull up</t>
    <phoneticPr fontId="1" type="noConversion"/>
  </si>
  <si>
    <t>full</t>
    <phoneticPr fontId="1" type="noConversion"/>
  </si>
  <si>
    <t>back-sitting row</t>
  </si>
  <si>
    <t>back-sitting row</t>
    <phoneticPr fontId="1" type="noConversion"/>
  </si>
  <si>
    <t>Arm-tricep-push up</t>
  </si>
  <si>
    <t>Arm-tricep-push up</t>
    <phoneticPr fontId="1" type="noConversion"/>
  </si>
  <si>
    <t>shoulder-side lift</t>
  </si>
  <si>
    <t>shoulder-side lift-middle string</t>
    <phoneticPr fontId="1" type="noConversion"/>
  </si>
  <si>
    <t>shoulder-bent-back string lift</t>
  </si>
  <si>
    <t>shoulder-bent-back string lift</t>
    <phoneticPr fontId="1" type="noConversion"/>
  </si>
  <si>
    <t>chest-string pull together(Lower chest)</t>
  </si>
  <si>
    <t>full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</si>
</sst>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/yyyy;@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u/>
      <sz val="11"/>
      <color theme="1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176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4" borderId="0" xfId="0" applyFill="1" applyAlignment="1">
      <alignment wrapText="1"/>
    </xf>
    <xf numFmtId="0" fontId="0" fillId="4" borderId="1" xfId="0" applyFill="1" applyBorder="1" applyAlignment="1">
      <alignment wrapText="1"/>
    </xf>
    <xf numFmtId="176" fontId="0" fillId="0" borderId="0" xfId="0" applyNumberFormat="1" applyAlignment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/>
    <xf numFmtId="0" fontId="0" fillId="0" borderId="0" xfId="0" applyAlignment="1"/>
    <xf numFmtId="0" fontId="0" fillId="3" borderId="1" xfId="0" applyFill="1" applyBorder="1" applyAlignment="1"/>
    <xf numFmtId="0" fontId="0" fillId="2" borderId="1" xfId="0" applyFill="1" applyBorder="1" applyAlignme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1" xfId="0" applyFill="1" applyBorder="1" applyAlignment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4" fontId="0" fillId="0" borderId="0" xfId="0" applyNumberFormat="1"/>
    <xf numFmtId="16" fontId="0" fillId="0" borderId="0" xfId="0" applyNumberFormat="1"/>
    <xf numFmtId="16" fontId="0" fillId="5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9"/>
  <sheetViews>
    <sheetView workbookViewId="0">
      <pane xSplit="1" ySplit="3" topLeftCell="B34" activePane="bottomRight" state="frozen"/>
      <selection pane="topRight" activeCell="B1" sqref="B1"/>
      <selection pane="bottomLeft" activeCell="A4" sqref="A4"/>
      <selection pane="bottomRight" activeCell="AR3" sqref="A1:AR3"/>
    </sheetView>
  </sheetViews>
  <sheetFormatPr defaultColWidth="8.875" defaultRowHeight="14.25" x14ac:dyDescent="0.2"/>
  <cols>
    <col min="1" max="1" width="11.125" style="1" bestFit="1" customWidth="1"/>
    <col min="2" max="38" width="8.5" style="5" customWidth="1"/>
    <col min="39" max="16384" width="8.875" style="2"/>
  </cols>
  <sheetData>
    <row r="1" spans="1:44" x14ac:dyDescent="0.2"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2" t="s">
        <v>1</v>
      </c>
      <c r="P1" s="32"/>
      <c r="Q1" s="32"/>
      <c r="R1" s="32"/>
      <c r="S1" s="32"/>
      <c r="T1" s="32"/>
      <c r="U1" s="31" t="s">
        <v>2</v>
      </c>
      <c r="V1" s="31"/>
      <c r="W1" s="31"/>
      <c r="X1" s="32" t="s">
        <v>3</v>
      </c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3" t="s">
        <v>4</v>
      </c>
      <c r="AK1" s="33"/>
      <c r="AL1" s="33"/>
      <c r="AM1" s="7"/>
      <c r="AN1" s="7"/>
      <c r="AO1" s="2" t="s">
        <v>46</v>
      </c>
    </row>
    <row r="2" spans="1:44" ht="42.75" x14ac:dyDescent="0.2">
      <c r="B2" s="31" t="s">
        <v>6</v>
      </c>
      <c r="C2" s="31"/>
      <c r="D2" s="31"/>
      <c r="E2" s="31"/>
      <c r="F2" s="31" t="s">
        <v>7</v>
      </c>
      <c r="G2" s="31"/>
      <c r="H2" s="31"/>
      <c r="I2" s="31"/>
      <c r="J2" s="6" t="s">
        <v>45</v>
      </c>
      <c r="K2" s="6"/>
      <c r="L2" s="6"/>
      <c r="M2" s="3" t="s">
        <v>8</v>
      </c>
      <c r="N2" s="3" t="s">
        <v>5</v>
      </c>
      <c r="O2" s="4" t="s">
        <v>13</v>
      </c>
      <c r="P2" s="4"/>
      <c r="Q2" s="4"/>
      <c r="R2" s="4" t="s">
        <v>14</v>
      </c>
      <c r="S2" s="4"/>
      <c r="T2" s="4"/>
      <c r="U2" s="3" t="s">
        <v>15</v>
      </c>
      <c r="V2" s="3"/>
      <c r="W2" s="3"/>
      <c r="X2" s="34" t="s">
        <v>19</v>
      </c>
      <c r="Y2" s="35"/>
      <c r="Z2" s="35"/>
      <c r="AA2" s="35"/>
      <c r="AB2" s="35"/>
      <c r="AC2" s="35"/>
      <c r="AD2" s="35"/>
      <c r="AE2" s="35"/>
      <c r="AF2" s="36"/>
      <c r="AG2" s="37" t="s">
        <v>23</v>
      </c>
      <c r="AH2" s="38"/>
      <c r="AI2" s="39"/>
      <c r="AJ2" s="8" t="s">
        <v>24</v>
      </c>
      <c r="AK2" s="8" t="s">
        <v>25</v>
      </c>
      <c r="AL2" s="8" t="s">
        <v>26</v>
      </c>
      <c r="AM2" s="7" t="s">
        <v>34</v>
      </c>
      <c r="AN2" s="7" t="s">
        <v>35</v>
      </c>
      <c r="AO2" s="2" t="s">
        <v>47</v>
      </c>
      <c r="AP2" s="2" t="s">
        <v>48</v>
      </c>
      <c r="AQ2" s="2" t="s">
        <v>50</v>
      </c>
      <c r="AR2" s="2" t="s">
        <v>52</v>
      </c>
    </row>
    <row r="3" spans="1:44" ht="42.75" customHeight="1" x14ac:dyDescent="0.2">
      <c r="B3" s="3" t="s">
        <v>9</v>
      </c>
      <c r="C3" s="3"/>
      <c r="D3" s="3"/>
      <c r="E3" s="3" t="s">
        <v>10</v>
      </c>
      <c r="F3" s="3" t="s">
        <v>11</v>
      </c>
      <c r="G3" s="3"/>
      <c r="H3" s="3"/>
      <c r="I3" s="3" t="s">
        <v>12</v>
      </c>
      <c r="J3" s="3" t="s">
        <v>42</v>
      </c>
      <c r="K3" s="3" t="s">
        <v>43</v>
      </c>
      <c r="L3" s="3" t="s">
        <v>44</v>
      </c>
      <c r="M3" s="3"/>
      <c r="N3" s="3"/>
      <c r="O3" s="4" t="s">
        <v>42</v>
      </c>
      <c r="P3" s="4" t="s">
        <v>43</v>
      </c>
      <c r="Q3" s="4" t="s">
        <v>44</v>
      </c>
      <c r="R3" s="4" t="s">
        <v>31</v>
      </c>
      <c r="S3" s="4" t="s">
        <v>32</v>
      </c>
      <c r="T3" s="4" t="s">
        <v>33</v>
      </c>
      <c r="U3" s="3" t="s">
        <v>16</v>
      </c>
      <c r="V3" s="3" t="s">
        <v>17</v>
      </c>
      <c r="W3" s="3" t="s">
        <v>18</v>
      </c>
      <c r="X3" s="34" t="s">
        <v>20</v>
      </c>
      <c r="Y3" s="35"/>
      <c r="Z3" s="36"/>
      <c r="AA3" s="34" t="s">
        <v>22</v>
      </c>
      <c r="AB3" s="35"/>
      <c r="AC3" s="36"/>
      <c r="AD3" s="34" t="s">
        <v>21</v>
      </c>
      <c r="AE3" s="35"/>
      <c r="AF3" s="36"/>
      <c r="AG3" s="40"/>
      <c r="AH3" s="41"/>
      <c r="AI3" s="42"/>
      <c r="AJ3" s="8"/>
      <c r="AK3" s="8"/>
      <c r="AL3" s="8"/>
      <c r="AM3" s="7"/>
      <c r="AN3" s="7"/>
    </row>
    <row r="4" spans="1:44" x14ac:dyDescent="0.2">
      <c r="X4" s="5" t="s">
        <v>28</v>
      </c>
      <c r="Y4" s="5" t="s">
        <v>27</v>
      </c>
      <c r="Z4" s="5" t="s">
        <v>29</v>
      </c>
      <c r="AA4" s="5" t="s">
        <v>28</v>
      </c>
      <c r="AB4" s="5" t="s">
        <v>27</v>
      </c>
      <c r="AC4" s="5" t="s">
        <v>29</v>
      </c>
      <c r="AD4" s="5" t="s">
        <v>28</v>
      </c>
      <c r="AE4" s="5" t="s">
        <v>27</v>
      </c>
      <c r="AF4" s="5" t="s">
        <v>29</v>
      </c>
      <c r="AG4" s="5" t="s">
        <v>28</v>
      </c>
      <c r="AH4" s="5" t="s">
        <v>27</v>
      </c>
      <c r="AI4" s="5" t="s">
        <v>29</v>
      </c>
      <c r="AO4" s="2" t="s">
        <v>49</v>
      </c>
      <c r="AP4" s="2" t="s">
        <v>49</v>
      </c>
      <c r="AQ4" s="2" t="s">
        <v>51</v>
      </c>
      <c r="AR4" s="2" t="s">
        <v>53</v>
      </c>
    </row>
    <row r="6" spans="1:44" x14ac:dyDescent="0.2">
      <c r="A6" s="1">
        <v>43462</v>
      </c>
      <c r="X6" s="5">
        <v>30</v>
      </c>
      <c r="Y6" s="5">
        <v>16</v>
      </c>
      <c r="Z6" s="5">
        <v>2</v>
      </c>
      <c r="AA6" s="5">
        <v>20</v>
      </c>
      <c r="AB6" s="5">
        <v>10</v>
      </c>
      <c r="AC6" s="5">
        <v>5</v>
      </c>
      <c r="AE6" s="5">
        <v>10</v>
      </c>
      <c r="AF6" s="5">
        <v>4</v>
      </c>
      <c r="AH6" s="5">
        <v>10</v>
      </c>
      <c r="AI6" s="5">
        <v>4</v>
      </c>
    </row>
    <row r="7" spans="1:44" x14ac:dyDescent="0.2">
      <c r="A7" s="2"/>
      <c r="X7" s="5">
        <v>40</v>
      </c>
      <c r="Y7" s="5">
        <v>14</v>
      </c>
      <c r="Z7" s="5">
        <v>2</v>
      </c>
    </row>
    <row r="8" spans="1:44" x14ac:dyDescent="0.2">
      <c r="A8" s="2"/>
      <c r="X8" s="5">
        <v>45</v>
      </c>
      <c r="Y8" s="5">
        <v>10</v>
      </c>
      <c r="Z8" s="5">
        <v>2</v>
      </c>
    </row>
    <row r="9" spans="1:44" x14ac:dyDescent="0.2">
      <c r="A9" s="2"/>
      <c r="X9" s="5">
        <v>50</v>
      </c>
      <c r="Y9" s="5">
        <v>6</v>
      </c>
      <c r="Z9" s="5">
        <v>2</v>
      </c>
    </row>
    <row r="10" spans="1:44" x14ac:dyDescent="0.2">
      <c r="A10" s="1" t="s">
        <v>30</v>
      </c>
      <c r="R10" s="5">
        <v>60</v>
      </c>
      <c r="S10" s="5">
        <v>12</v>
      </c>
      <c r="T10" s="5">
        <v>2</v>
      </c>
    </row>
    <row r="11" spans="1:44" x14ac:dyDescent="0.2">
      <c r="R11" s="5">
        <v>90</v>
      </c>
      <c r="S11" s="5">
        <v>10</v>
      </c>
      <c r="T11" s="5">
        <v>2</v>
      </c>
    </row>
    <row r="12" spans="1:44" x14ac:dyDescent="0.2">
      <c r="R12" s="5">
        <v>90</v>
      </c>
      <c r="S12" s="5">
        <v>6</v>
      </c>
      <c r="T12" s="5">
        <v>2</v>
      </c>
    </row>
    <row r="13" spans="1:44" x14ac:dyDescent="0.2">
      <c r="R13" s="5">
        <v>90</v>
      </c>
      <c r="S13" s="5">
        <v>3</v>
      </c>
      <c r="T13" s="5">
        <v>1</v>
      </c>
    </row>
    <row r="14" spans="1:44" x14ac:dyDescent="0.2">
      <c r="R14" s="5">
        <v>37.5</v>
      </c>
      <c r="S14" s="5">
        <v>6</v>
      </c>
      <c r="T14" s="5">
        <v>1</v>
      </c>
    </row>
    <row r="15" spans="1:44" x14ac:dyDescent="0.2">
      <c r="R15" s="5">
        <v>45</v>
      </c>
      <c r="S15" s="5">
        <v>2</v>
      </c>
      <c r="T15" s="5">
        <v>1</v>
      </c>
    </row>
    <row r="16" spans="1:44" x14ac:dyDescent="0.2">
      <c r="A16" s="1">
        <v>43463</v>
      </c>
    </row>
    <row r="17" spans="1:40" x14ac:dyDescent="0.2">
      <c r="A17" s="1">
        <v>43464</v>
      </c>
    </row>
    <row r="18" spans="1:40" x14ac:dyDescent="0.2">
      <c r="A18" s="1">
        <v>43465</v>
      </c>
    </row>
    <row r="19" spans="1:40" x14ac:dyDescent="0.2">
      <c r="B19" s="5" t="s">
        <v>42</v>
      </c>
      <c r="C19" s="5" t="s">
        <v>43</v>
      </c>
      <c r="D19" s="5" t="s">
        <v>44</v>
      </c>
      <c r="F19" s="5" t="s">
        <v>42</v>
      </c>
      <c r="G19" s="5" t="s">
        <v>43</v>
      </c>
      <c r="H19" s="5" t="s">
        <v>44</v>
      </c>
    </row>
    <row r="20" spans="1:40" x14ac:dyDescent="0.2">
      <c r="A20" s="1">
        <v>43466</v>
      </c>
    </row>
    <row r="21" spans="1:40" x14ac:dyDescent="0.2">
      <c r="A21" s="1">
        <v>43467</v>
      </c>
    </row>
    <row r="22" spans="1:40" x14ac:dyDescent="0.2">
      <c r="A22" s="1">
        <v>43468</v>
      </c>
    </row>
    <row r="23" spans="1:40" x14ac:dyDescent="0.2">
      <c r="A23" s="1">
        <v>43469</v>
      </c>
    </row>
    <row r="24" spans="1:40" x14ac:dyDescent="0.2">
      <c r="A24" s="1">
        <v>43470</v>
      </c>
    </row>
    <row r="25" spans="1:40" x14ac:dyDescent="0.2">
      <c r="A25" s="1">
        <v>43471</v>
      </c>
    </row>
    <row r="26" spans="1:40" x14ac:dyDescent="0.2">
      <c r="A26" s="1">
        <v>43472</v>
      </c>
      <c r="B26" s="5">
        <v>16</v>
      </c>
      <c r="C26" s="5">
        <v>10</v>
      </c>
      <c r="D26" s="5">
        <v>4</v>
      </c>
      <c r="F26" s="5">
        <v>10</v>
      </c>
      <c r="G26" s="5">
        <v>10</v>
      </c>
      <c r="H26" s="5">
        <v>3</v>
      </c>
      <c r="J26" s="5">
        <v>20</v>
      </c>
      <c r="K26" s="5">
        <v>10</v>
      </c>
      <c r="L26" s="5">
        <v>4</v>
      </c>
      <c r="AL26" s="5" t="s">
        <v>41</v>
      </c>
      <c r="AM26" s="2" t="s">
        <v>40</v>
      </c>
      <c r="AN26" s="2" t="s">
        <v>36</v>
      </c>
    </row>
    <row r="27" spans="1:40" x14ac:dyDescent="0.2">
      <c r="F27" s="5">
        <v>15</v>
      </c>
      <c r="G27" s="5">
        <v>8</v>
      </c>
      <c r="H27" s="5">
        <v>2</v>
      </c>
      <c r="AM27" s="2">
        <v>12.54</v>
      </c>
      <c r="AN27" s="2" t="s">
        <v>37</v>
      </c>
    </row>
    <row r="28" spans="1:40" x14ac:dyDescent="0.2">
      <c r="F28" s="5">
        <v>15</v>
      </c>
      <c r="G28" s="5">
        <v>6</v>
      </c>
      <c r="H28" s="5">
        <v>2</v>
      </c>
      <c r="AN28" s="2" t="s">
        <v>38</v>
      </c>
    </row>
    <row r="29" spans="1:40" x14ac:dyDescent="0.2">
      <c r="AN29" s="2" t="s">
        <v>39</v>
      </c>
    </row>
    <row r="32" spans="1:40" x14ac:dyDescent="0.2">
      <c r="A32" s="1">
        <v>43473</v>
      </c>
      <c r="O32" s="5">
        <v>30</v>
      </c>
      <c r="P32" s="5">
        <v>12</v>
      </c>
      <c r="Q32" s="5">
        <v>2</v>
      </c>
    </row>
    <row r="33" spans="1:38" x14ac:dyDescent="0.2">
      <c r="O33" s="5">
        <v>90</v>
      </c>
      <c r="P33" s="5">
        <v>8</v>
      </c>
      <c r="Q33" s="5">
        <v>1</v>
      </c>
    </row>
    <row r="34" spans="1:38" x14ac:dyDescent="0.2">
      <c r="O34" s="5">
        <v>90</v>
      </c>
      <c r="P34" s="5">
        <v>10</v>
      </c>
      <c r="Q34" s="5">
        <v>3</v>
      </c>
    </row>
    <row r="35" spans="1:38" x14ac:dyDescent="0.2">
      <c r="O35" s="5">
        <v>80</v>
      </c>
      <c r="P35" s="5">
        <v>10</v>
      </c>
      <c r="Q35" s="5">
        <v>2</v>
      </c>
    </row>
    <row r="36" spans="1:38" x14ac:dyDescent="0.2">
      <c r="O36" s="5">
        <v>80</v>
      </c>
      <c r="P36" s="5">
        <v>8</v>
      </c>
      <c r="Q36" s="5">
        <v>2</v>
      </c>
    </row>
    <row r="37" spans="1:38" x14ac:dyDescent="0.2">
      <c r="A37" s="1">
        <v>43474</v>
      </c>
      <c r="U37" s="5" t="s">
        <v>56</v>
      </c>
      <c r="V37" s="5" t="s">
        <v>54</v>
      </c>
    </row>
    <row r="38" spans="1:38" x14ac:dyDescent="0.2">
      <c r="V38" s="5" t="s">
        <v>55</v>
      </c>
    </row>
    <row r="39" spans="1:38" x14ac:dyDescent="0.2">
      <c r="AL39" s="5" t="s">
        <v>57</v>
      </c>
    </row>
    <row r="40" spans="1:38" x14ac:dyDescent="0.2">
      <c r="AL40" s="5" t="s">
        <v>58</v>
      </c>
    </row>
    <row r="41" spans="1:38" x14ac:dyDescent="0.2">
      <c r="AL41" s="5" t="s">
        <v>59</v>
      </c>
    </row>
    <row r="42" spans="1:38" x14ac:dyDescent="0.2">
      <c r="A42" s="1">
        <v>43475</v>
      </c>
    </row>
    <row r="51" spans="1:9" x14ac:dyDescent="0.2">
      <c r="A51" s="1">
        <v>43481</v>
      </c>
      <c r="B51" s="5" t="s">
        <v>65</v>
      </c>
      <c r="F51" s="5" t="s">
        <v>60</v>
      </c>
      <c r="I51" s="5" t="s">
        <v>63</v>
      </c>
    </row>
    <row r="52" spans="1:9" x14ac:dyDescent="0.2">
      <c r="F52" s="5" t="s">
        <v>61</v>
      </c>
      <c r="I52" s="5" t="s">
        <v>64</v>
      </c>
    </row>
    <row r="53" spans="1:9" x14ac:dyDescent="0.2">
      <c r="F53" s="5" t="s">
        <v>62</v>
      </c>
    </row>
    <row r="59" spans="1:9" x14ac:dyDescent="0.2">
      <c r="A59" s="1">
        <v>43477</v>
      </c>
    </row>
  </sheetData>
  <mergeCells count="12">
    <mergeCell ref="AJ1:AL1"/>
    <mergeCell ref="AA3:AC3"/>
    <mergeCell ref="X3:Z3"/>
    <mergeCell ref="AD3:AF3"/>
    <mergeCell ref="AG2:AI3"/>
    <mergeCell ref="X2:AF2"/>
    <mergeCell ref="X1:AI1"/>
    <mergeCell ref="F2:I2"/>
    <mergeCell ref="B2:E2"/>
    <mergeCell ref="O1:T1"/>
    <mergeCell ref="B1:N1"/>
    <mergeCell ref="U1:W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4"/>
  <sheetViews>
    <sheetView topLeftCell="H1" workbookViewId="0">
      <selection activeCell="Q21" sqref="Q21"/>
    </sheetView>
  </sheetViews>
  <sheetFormatPr defaultColWidth="8.875" defaultRowHeight="14.25" x14ac:dyDescent="0.2"/>
  <sheetData>
    <row r="1" spans="1:44" x14ac:dyDescent="0.2">
      <c r="A1" s="9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 t="s">
        <v>1</v>
      </c>
      <c r="P1" s="11"/>
      <c r="Q1" s="11"/>
      <c r="R1" s="11"/>
      <c r="S1" s="11"/>
      <c r="T1" s="11"/>
      <c r="U1" s="10" t="s">
        <v>2</v>
      </c>
      <c r="V1" s="10"/>
      <c r="W1" s="10"/>
      <c r="AP1" s="14"/>
      <c r="AQ1" s="14"/>
      <c r="AR1" s="14"/>
    </row>
    <row r="2" spans="1:44" x14ac:dyDescent="0.2">
      <c r="A2" s="9"/>
      <c r="C2" s="10"/>
      <c r="D2" s="10"/>
      <c r="E2" s="10"/>
      <c r="F2" s="10" t="s">
        <v>7</v>
      </c>
      <c r="G2" s="10"/>
      <c r="H2" s="10"/>
      <c r="I2" s="10"/>
      <c r="J2" s="10" t="s">
        <v>45</v>
      </c>
      <c r="K2" s="10"/>
      <c r="L2" s="10"/>
      <c r="M2" s="15" t="s">
        <v>8</v>
      </c>
      <c r="N2" s="15" t="s">
        <v>5</v>
      </c>
      <c r="O2" s="16" t="s">
        <v>13</v>
      </c>
      <c r="P2" s="16"/>
      <c r="Q2" s="16"/>
      <c r="R2" s="16" t="s">
        <v>14</v>
      </c>
      <c r="S2" s="16"/>
      <c r="T2" s="16"/>
      <c r="U2" s="15" t="s">
        <v>15</v>
      </c>
      <c r="V2" s="15"/>
      <c r="W2" s="15"/>
      <c r="AP2" s="14" t="s">
        <v>48</v>
      </c>
      <c r="AQ2" s="14" t="s">
        <v>50</v>
      </c>
      <c r="AR2" s="14" t="s">
        <v>52</v>
      </c>
    </row>
    <row r="3" spans="1:44" x14ac:dyDescent="0.2">
      <c r="A3" s="9"/>
      <c r="C3" s="15"/>
      <c r="D3" s="15"/>
      <c r="E3" s="15" t="s">
        <v>10</v>
      </c>
      <c r="F3" s="15" t="s">
        <v>11</v>
      </c>
      <c r="G3" s="15"/>
      <c r="H3" s="15"/>
      <c r="I3" s="15" t="s">
        <v>12</v>
      </c>
      <c r="J3" s="15" t="s">
        <v>28</v>
      </c>
      <c r="K3" s="15" t="s">
        <v>27</v>
      </c>
      <c r="L3" s="15" t="s">
        <v>33</v>
      </c>
      <c r="M3" s="15"/>
      <c r="N3" s="15"/>
      <c r="O3" s="16" t="s">
        <v>28</v>
      </c>
      <c r="P3" s="16" t="s">
        <v>27</v>
      </c>
      <c r="Q3" s="16" t="s">
        <v>33</v>
      </c>
      <c r="R3" s="16" t="s">
        <v>28</v>
      </c>
      <c r="S3" s="16" t="s">
        <v>27</v>
      </c>
      <c r="T3" s="16" t="s">
        <v>33</v>
      </c>
      <c r="U3" s="15" t="s">
        <v>16</v>
      </c>
      <c r="V3" s="15" t="s">
        <v>17</v>
      </c>
      <c r="W3" s="15" t="s">
        <v>18</v>
      </c>
      <c r="AP3" s="14"/>
      <c r="AQ3" s="14"/>
      <c r="AR3" s="14"/>
    </row>
    <row r="7" spans="1:44" x14ac:dyDescent="0.2">
      <c r="B7" s="10" t="s">
        <v>6</v>
      </c>
    </row>
    <row r="8" spans="1:44" x14ac:dyDescent="0.2">
      <c r="B8" s="15" t="s">
        <v>9</v>
      </c>
    </row>
    <row r="12" spans="1:44" x14ac:dyDescent="0.2">
      <c r="B12" s="11" t="s">
        <v>3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 t="s">
        <v>4</v>
      </c>
      <c r="O12" s="12"/>
      <c r="P12" s="12"/>
      <c r="Q12" s="13"/>
      <c r="R12" s="13"/>
      <c r="S12" s="14" t="s">
        <v>46</v>
      </c>
    </row>
    <row r="13" spans="1:44" x14ac:dyDescent="0.2">
      <c r="B13" s="17" t="s">
        <v>19</v>
      </c>
      <c r="C13" s="18"/>
      <c r="D13" s="18"/>
      <c r="E13" s="18"/>
      <c r="F13" s="18"/>
      <c r="G13" s="18"/>
      <c r="H13" s="18"/>
      <c r="I13" s="18"/>
      <c r="J13" s="19"/>
      <c r="K13" s="20" t="s">
        <v>23</v>
      </c>
      <c r="L13" s="21"/>
      <c r="M13" s="22"/>
      <c r="N13" s="23" t="s">
        <v>24</v>
      </c>
      <c r="O13" s="23" t="s">
        <v>25</v>
      </c>
      <c r="P13" s="23" t="s">
        <v>26</v>
      </c>
      <c r="Q13" s="13" t="s">
        <v>34</v>
      </c>
      <c r="R13" s="13" t="s">
        <v>35</v>
      </c>
      <c r="S13" s="14" t="s">
        <v>47</v>
      </c>
    </row>
    <row r="14" spans="1:44" x14ac:dyDescent="0.2">
      <c r="B14" s="17" t="s">
        <v>20</v>
      </c>
      <c r="C14" s="18"/>
      <c r="D14" s="19"/>
      <c r="E14" s="17" t="s">
        <v>22</v>
      </c>
      <c r="F14" s="18"/>
      <c r="G14" s="19"/>
      <c r="H14" s="17" t="s">
        <v>21</v>
      </c>
      <c r="I14" s="18"/>
      <c r="J14" s="19"/>
      <c r="K14" s="24"/>
      <c r="L14" s="25"/>
      <c r="M14" s="26"/>
      <c r="N14" s="23"/>
      <c r="O14" s="23"/>
      <c r="P14" s="23"/>
      <c r="Q14" s="13"/>
      <c r="R14" s="13"/>
      <c r="S14" s="14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2"/>
  <sheetViews>
    <sheetView tabSelected="1" zoomScale="175" zoomScaleNormal="175" workbookViewId="0">
      <pane ySplit="1" topLeftCell="A140" activePane="bottomLeft" state="frozen"/>
      <selection pane="bottomLeft" activeCell="H139" sqref="H139"/>
    </sheetView>
  </sheetViews>
  <sheetFormatPr defaultColWidth="8.875" defaultRowHeight="14.25" x14ac:dyDescent="0.2"/>
  <cols>
    <col min="1" max="1" width="10" bestFit="1" customWidth="1"/>
    <col min="2" max="2" width="0" hidden="1" customWidth="1"/>
    <col min="3" max="3" width="29.875" bestFit="1" customWidth="1"/>
  </cols>
  <sheetData>
    <row r="1" spans="1:10" x14ac:dyDescent="0.2">
      <c r="A1" t="s">
        <v>68</v>
      </c>
      <c r="B1" t="s">
        <v>69</v>
      </c>
      <c r="C1" t="s">
        <v>67</v>
      </c>
      <c r="D1" t="s">
        <v>28</v>
      </c>
      <c r="E1" t="s">
        <v>66</v>
      </c>
      <c r="F1" t="s">
        <v>33</v>
      </c>
      <c r="G1" t="s">
        <v>93</v>
      </c>
      <c r="H1" t="s">
        <v>94</v>
      </c>
      <c r="J1" t="s">
        <v>101</v>
      </c>
    </row>
    <row r="2" spans="1:10" x14ac:dyDescent="0.2">
      <c r="A2" s="27">
        <v>43481</v>
      </c>
    </row>
    <row r="3" spans="1:10" x14ac:dyDescent="0.2">
      <c r="A3" s="27">
        <v>43481</v>
      </c>
      <c r="C3" t="s">
        <v>75</v>
      </c>
      <c r="D3">
        <v>20</v>
      </c>
      <c r="E3">
        <v>12</v>
      </c>
      <c r="F3">
        <v>3</v>
      </c>
      <c r="G3">
        <f t="shared" ref="G3:G8" si="0">D3*E3*F3</f>
        <v>720</v>
      </c>
    </row>
    <row r="4" spans="1:10" x14ac:dyDescent="0.2">
      <c r="A4" s="27">
        <v>43481</v>
      </c>
      <c r="C4" t="s">
        <v>75</v>
      </c>
      <c r="D4">
        <v>25</v>
      </c>
      <c r="E4">
        <v>12</v>
      </c>
      <c r="F4">
        <v>3</v>
      </c>
      <c r="G4">
        <f t="shared" si="0"/>
        <v>900</v>
      </c>
    </row>
    <row r="5" spans="1:10" x14ac:dyDescent="0.2">
      <c r="A5" s="27">
        <v>43481</v>
      </c>
      <c r="C5" t="s">
        <v>75</v>
      </c>
      <c r="D5">
        <v>25</v>
      </c>
      <c r="E5">
        <v>8</v>
      </c>
      <c r="F5">
        <v>2</v>
      </c>
      <c r="G5">
        <f t="shared" si="0"/>
        <v>400</v>
      </c>
    </row>
    <row r="6" spans="1:10" x14ac:dyDescent="0.2">
      <c r="A6" s="27">
        <v>43481</v>
      </c>
      <c r="C6" t="s">
        <v>73</v>
      </c>
      <c r="D6">
        <v>7.5</v>
      </c>
      <c r="E6">
        <v>10</v>
      </c>
      <c r="F6">
        <v>5</v>
      </c>
      <c r="G6">
        <f t="shared" si="0"/>
        <v>375</v>
      </c>
    </row>
    <row r="7" spans="1:10" x14ac:dyDescent="0.2">
      <c r="A7" s="27">
        <v>43481</v>
      </c>
      <c r="C7" t="s">
        <v>71</v>
      </c>
      <c r="D7">
        <v>30</v>
      </c>
      <c r="E7">
        <v>8</v>
      </c>
      <c r="F7">
        <v>2</v>
      </c>
      <c r="G7">
        <f t="shared" si="0"/>
        <v>480</v>
      </c>
    </row>
    <row r="8" spans="1:10" x14ac:dyDescent="0.2">
      <c r="A8" s="27">
        <v>43481</v>
      </c>
      <c r="C8" t="s">
        <v>71</v>
      </c>
      <c r="D8">
        <v>30</v>
      </c>
      <c r="E8">
        <v>6</v>
      </c>
      <c r="F8">
        <v>5</v>
      </c>
      <c r="G8">
        <f t="shared" si="0"/>
        <v>900</v>
      </c>
    </row>
    <row r="9" spans="1:10" x14ac:dyDescent="0.2">
      <c r="A9" s="27">
        <v>43482</v>
      </c>
      <c r="C9" t="s">
        <v>77</v>
      </c>
    </row>
    <row r="10" spans="1:10" x14ac:dyDescent="0.2">
      <c r="A10" s="27">
        <v>43486</v>
      </c>
      <c r="C10" t="s">
        <v>84</v>
      </c>
      <c r="D10">
        <v>60</v>
      </c>
      <c r="E10">
        <v>10</v>
      </c>
      <c r="F10">
        <v>2</v>
      </c>
      <c r="G10">
        <f>D10*E10*F10</f>
        <v>1200</v>
      </c>
    </row>
    <row r="11" spans="1:10" x14ac:dyDescent="0.2">
      <c r="A11" s="27">
        <v>43486</v>
      </c>
      <c r="C11" t="s">
        <v>84</v>
      </c>
      <c r="D11">
        <v>80</v>
      </c>
      <c r="E11">
        <v>10</v>
      </c>
      <c r="F11">
        <v>2</v>
      </c>
      <c r="G11">
        <f t="shared" ref="G11:G22" si="1">D11*E11*F11</f>
        <v>1600</v>
      </c>
    </row>
    <row r="12" spans="1:10" x14ac:dyDescent="0.2">
      <c r="A12" s="27">
        <v>43486</v>
      </c>
      <c r="C12" t="s">
        <v>84</v>
      </c>
      <c r="D12">
        <v>100</v>
      </c>
      <c r="E12">
        <v>8</v>
      </c>
      <c r="F12">
        <v>2</v>
      </c>
      <c r="G12">
        <f t="shared" si="1"/>
        <v>1600</v>
      </c>
    </row>
    <row r="13" spans="1:10" x14ac:dyDescent="0.2">
      <c r="A13" s="27">
        <v>43486</v>
      </c>
      <c r="C13" t="s">
        <v>84</v>
      </c>
      <c r="D13">
        <v>100</v>
      </c>
      <c r="E13">
        <v>6</v>
      </c>
      <c r="F13">
        <v>2</v>
      </c>
      <c r="G13">
        <f t="shared" si="1"/>
        <v>1200</v>
      </c>
    </row>
    <row r="14" spans="1:10" x14ac:dyDescent="0.2">
      <c r="A14" s="27">
        <v>43486</v>
      </c>
      <c r="C14" t="s">
        <v>82</v>
      </c>
      <c r="D14">
        <v>50</v>
      </c>
      <c r="E14">
        <v>10</v>
      </c>
      <c r="F14">
        <v>3</v>
      </c>
      <c r="G14">
        <f t="shared" si="1"/>
        <v>1500</v>
      </c>
    </row>
    <row r="15" spans="1:10" x14ac:dyDescent="0.2">
      <c r="A15" s="27">
        <v>43486</v>
      </c>
      <c r="C15" t="s">
        <v>82</v>
      </c>
      <c r="D15">
        <v>60</v>
      </c>
      <c r="E15">
        <v>10</v>
      </c>
      <c r="F15">
        <v>1</v>
      </c>
      <c r="G15">
        <f t="shared" si="1"/>
        <v>600</v>
      </c>
    </row>
    <row r="16" spans="1:10" x14ac:dyDescent="0.2">
      <c r="A16" s="27">
        <v>43486</v>
      </c>
      <c r="C16" t="s">
        <v>82</v>
      </c>
      <c r="D16">
        <v>60</v>
      </c>
      <c r="E16">
        <v>8</v>
      </c>
      <c r="F16">
        <v>1</v>
      </c>
      <c r="G16">
        <f t="shared" si="1"/>
        <v>480</v>
      </c>
    </row>
    <row r="17" spans="1:10" x14ac:dyDescent="0.2">
      <c r="A17" s="27">
        <v>43486</v>
      </c>
      <c r="C17" t="s">
        <v>82</v>
      </c>
      <c r="D17">
        <v>65</v>
      </c>
      <c r="E17">
        <v>8</v>
      </c>
      <c r="F17">
        <v>2</v>
      </c>
      <c r="G17">
        <f t="shared" si="1"/>
        <v>1040</v>
      </c>
    </row>
    <row r="18" spans="1:10" x14ac:dyDescent="0.2">
      <c r="A18" s="27">
        <v>43487</v>
      </c>
      <c r="C18" t="s">
        <v>88</v>
      </c>
      <c r="D18">
        <v>30</v>
      </c>
      <c r="E18">
        <v>10</v>
      </c>
      <c r="F18">
        <v>5</v>
      </c>
      <c r="G18">
        <f t="shared" si="1"/>
        <v>1500</v>
      </c>
    </row>
    <row r="19" spans="1:10" x14ac:dyDescent="0.2">
      <c r="A19" s="27">
        <v>43487</v>
      </c>
      <c r="C19" t="s">
        <v>88</v>
      </c>
      <c r="D19">
        <v>30</v>
      </c>
      <c r="E19">
        <v>8</v>
      </c>
      <c r="F19">
        <v>1</v>
      </c>
      <c r="G19">
        <f t="shared" si="1"/>
        <v>240</v>
      </c>
    </row>
    <row r="20" spans="1:10" x14ac:dyDescent="0.2">
      <c r="A20" s="27">
        <v>43487</v>
      </c>
      <c r="C20" t="s">
        <v>88</v>
      </c>
      <c r="D20">
        <v>30</v>
      </c>
      <c r="E20">
        <v>10</v>
      </c>
      <c r="F20">
        <v>4</v>
      </c>
      <c r="G20">
        <f t="shared" si="1"/>
        <v>1200</v>
      </c>
    </row>
    <row r="21" spans="1:10" x14ac:dyDescent="0.2">
      <c r="A21" s="27">
        <v>43487</v>
      </c>
      <c r="C21" t="s">
        <v>90</v>
      </c>
      <c r="D21">
        <v>30</v>
      </c>
      <c r="E21">
        <v>8</v>
      </c>
      <c r="F21">
        <v>2</v>
      </c>
      <c r="G21">
        <f t="shared" si="1"/>
        <v>480</v>
      </c>
    </row>
    <row r="22" spans="1:10" x14ac:dyDescent="0.2">
      <c r="A22" s="27">
        <v>43487</v>
      </c>
      <c r="C22" t="s">
        <v>92</v>
      </c>
      <c r="D22">
        <v>3</v>
      </c>
      <c r="E22">
        <v>10</v>
      </c>
      <c r="F22">
        <v>5</v>
      </c>
      <c r="G22">
        <f t="shared" si="1"/>
        <v>150</v>
      </c>
    </row>
    <row r="23" spans="1:10" x14ac:dyDescent="0.2">
      <c r="A23" s="27">
        <v>43493</v>
      </c>
      <c r="C23" t="s">
        <v>84</v>
      </c>
      <c r="D23">
        <v>45</v>
      </c>
      <c r="E23">
        <v>10</v>
      </c>
      <c r="F23">
        <v>2</v>
      </c>
      <c r="G23">
        <f>D23*E23*F23</f>
        <v>900</v>
      </c>
    </row>
    <row r="24" spans="1:10" x14ac:dyDescent="0.2">
      <c r="A24" s="27">
        <v>43493</v>
      </c>
      <c r="C24" t="s">
        <v>84</v>
      </c>
      <c r="D24">
        <v>60</v>
      </c>
      <c r="E24">
        <v>10</v>
      </c>
      <c r="F24">
        <v>1</v>
      </c>
      <c r="G24">
        <f t="shared" ref="G24:G87" si="2">D24*E24*F24</f>
        <v>600</v>
      </c>
    </row>
    <row r="25" spans="1:10" x14ac:dyDescent="0.2">
      <c r="A25" s="27">
        <v>43493</v>
      </c>
      <c r="C25" t="s">
        <v>84</v>
      </c>
      <c r="D25">
        <v>90</v>
      </c>
      <c r="E25">
        <v>10</v>
      </c>
      <c r="F25">
        <v>2</v>
      </c>
      <c r="G25">
        <f t="shared" si="2"/>
        <v>1800</v>
      </c>
    </row>
    <row r="26" spans="1:10" x14ac:dyDescent="0.2">
      <c r="A26" s="27">
        <v>43493</v>
      </c>
      <c r="C26" t="s">
        <v>84</v>
      </c>
      <c r="D26">
        <v>100</v>
      </c>
      <c r="E26">
        <v>8</v>
      </c>
      <c r="F26">
        <v>1</v>
      </c>
      <c r="G26">
        <f t="shared" si="2"/>
        <v>800</v>
      </c>
    </row>
    <row r="27" spans="1:10" x14ac:dyDescent="0.2">
      <c r="A27" s="27">
        <v>43493</v>
      </c>
      <c r="C27" t="s">
        <v>84</v>
      </c>
      <c r="D27">
        <v>100</v>
      </c>
      <c r="E27">
        <v>7</v>
      </c>
      <c r="F27">
        <v>1</v>
      </c>
      <c r="G27">
        <f t="shared" si="2"/>
        <v>700</v>
      </c>
    </row>
    <row r="28" spans="1:10" x14ac:dyDescent="0.2">
      <c r="A28" s="27">
        <v>43493</v>
      </c>
      <c r="C28" t="s">
        <v>84</v>
      </c>
      <c r="D28">
        <v>100</v>
      </c>
      <c r="E28">
        <v>6</v>
      </c>
      <c r="F28">
        <v>1</v>
      </c>
      <c r="G28">
        <f t="shared" si="2"/>
        <v>600</v>
      </c>
    </row>
    <row r="29" spans="1:10" x14ac:dyDescent="0.2">
      <c r="A29" s="27">
        <v>43493</v>
      </c>
      <c r="C29" t="s">
        <v>84</v>
      </c>
      <c r="D29">
        <v>100</v>
      </c>
      <c r="E29">
        <v>5</v>
      </c>
      <c r="F29">
        <v>1</v>
      </c>
      <c r="G29">
        <f t="shared" si="2"/>
        <v>500</v>
      </c>
    </row>
    <row r="30" spans="1:10" x14ac:dyDescent="0.2">
      <c r="A30" s="27">
        <v>43493</v>
      </c>
      <c r="C30" t="s">
        <v>82</v>
      </c>
      <c r="D30">
        <v>50</v>
      </c>
      <c r="E30">
        <v>10</v>
      </c>
      <c r="F30">
        <v>2</v>
      </c>
      <c r="G30">
        <f t="shared" si="2"/>
        <v>1000</v>
      </c>
    </row>
    <row r="31" spans="1:10" x14ac:dyDescent="0.2">
      <c r="A31" s="27">
        <v>43494</v>
      </c>
      <c r="C31" t="s">
        <v>95</v>
      </c>
      <c r="D31">
        <v>40</v>
      </c>
      <c r="E31">
        <v>12</v>
      </c>
      <c r="F31">
        <v>2</v>
      </c>
      <c r="G31">
        <f t="shared" si="2"/>
        <v>960</v>
      </c>
      <c r="J31" t="s">
        <v>102</v>
      </c>
    </row>
    <row r="32" spans="1:10" x14ac:dyDescent="0.2">
      <c r="A32" s="27">
        <v>43494</v>
      </c>
      <c r="C32" t="s">
        <v>95</v>
      </c>
      <c r="D32">
        <v>50</v>
      </c>
      <c r="E32">
        <v>8</v>
      </c>
      <c r="F32">
        <v>2</v>
      </c>
      <c r="G32">
        <f t="shared" si="2"/>
        <v>800</v>
      </c>
    </row>
    <row r="33" spans="1:7" x14ac:dyDescent="0.2">
      <c r="A33" s="27">
        <v>43494</v>
      </c>
      <c r="C33" t="s">
        <v>95</v>
      </c>
      <c r="D33">
        <v>55</v>
      </c>
      <c r="E33">
        <v>6</v>
      </c>
      <c r="F33">
        <v>2</v>
      </c>
      <c r="G33">
        <f t="shared" si="2"/>
        <v>660</v>
      </c>
    </row>
    <row r="34" spans="1:7" x14ac:dyDescent="0.2">
      <c r="A34" s="27">
        <v>43494</v>
      </c>
      <c r="C34" t="s">
        <v>95</v>
      </c>
      <c r="D34">
        <v>45</v>
      </c>
      <c r="E34">
        <v>8</v>
      </c>
      <c r="F34">
        <v>1</v>
      </c>
      <c r="G34">
        <f t="shared" si="2"/>
        <v>360</v>
      </c>
    </row>
    <row r="35" spans="1:7" x14ac:dyDescent="0.2">
      <c r="A35" s="27">
        <v>43494</v>
      </c>
      <c r="C35" t="s">
        <v>96</v>
      </c>
      <c r="D35">
        <v>30</v>
      </c>
      <c r="E35">
        <v>12</v>
      </c>
      <c r="F35">
        <v>1</v>
      </c>
      <c r="G35">
        <f t="shared" si="2"/>
        <v>360</v>
      </c>
    </row>
    <row r="36" spans="1:7" x14ac:dyDescent="0.2">
      <c r="A36" s="27">
        <v>43494</v>
      </c>
      <c r="C36" t="s">
        <v>96</v>
      </c>
      <c r="D36">
        <v>35</v>
      </c>
      <c r="E36">
        <v>10</v>
      </c>
      <c r="F36">
        <v>2</v>
      </c>
      <c r="G36">
        <f t="shared" si="2"/>
        <v>700</v>
      </c>
    </row>
    <row r="37" spans="1:7" x14ac:dyDescent="0.2">
      <c r="A37" s="27">
        <v>43494</v>
      </c>
      <c r="C37" t="s">
        <v>96</v>
      </c>
      <c r="D37">
        <v>35</v>
      </c>
      <c r="E37">
        <v>8</v>
      </c>
      <c r="F37">
        <v>1</v>
      </c>
      <c r="G37">
        <f t="shared" si="2"/>
        <v>280</v>
      </c>
    </row>
    <row r="38" spans="1:7" x14ac:dyDescent="0.2">
      <c r="A38" s="27">
        <v>43494</v>
      </c>
      <c r="C38" t="s">
        <v>96</v>
      </c>
      <c r="D38">
        <v>40</v>
      </c>
      <c r="E38">
        <v>5</v>
      </c>
      <c r="F38">
        <v>1</v>
      </c>
      <c r="G38">
        <f t="shared" si="2"/>
        <v>200</v>
      </c>
    </row>
    <row r="39" spans="1:7" x14ac:dyDescent="0.2">
      <c r="A39" s="27">
        <v>43494</v>
      </c>
      <c r="C39" t="s">
        <v>90</v>
      </c>
      <c r="D39">
        <v>30</v>
      </c>
      <c r="E39">
        <v>9</v>
      </c>
      <c r="F39">
        <v>3</v>
      </c>
      <c r="G39">
        <f t="shared" si="2"/>
        <v>810</v>
      </c>
    </row>
    <row r="40" spans="1:7" x14ac:dyDescent="0.2">
      <c r="A40" s="27">
        <v>43494</v>
      </c>
      <c r="C40" t="s">
        <v>90</v>
      </c>
      <c r="D40">
        <v>30</v>
      </c>
      <c r="E40">
        <v>8</v>
      </c>
      <c r="F40">
        <v>1</v>
      </c>
      <c r="G40">
        <f t="shared" si="2"/>
        <v>240</v>
      </c>
    </row>
    <row r="41" spans="1:7" x14ac:dyDescent="0.2">
      <c r="A41" s="27">
        <v>43494</v>
      </c>
      <c r="C41" t="s">
        <v>88</v>
      </c>
      <c r="D41">
        <v>25</v>
      </c>
      <c r="E41">
        <v>10</v>
      </c>
      <c r="F41">
        <v>4</v>
      </c>
      <c r="G41">
        <f t="shared" si="2"/>
        <v>1000</v>
      </c>
    </row>
    <row r="42" spans="1:7" x14ac:dyDescent="0.2">
      <c r="A42" s="27">
        <v>43494</v>
      </c>
      <c r="C42" t="s">
        <v>97</v>
      </c>
      <c r="D42">
        <v>1</v>
      </c>
      <c r="E42">
        <v>10</v>
      </c>
      <c r="F42">
        <v>2</v>
      </c>
      <c r="G42">
        <f t="shared" si="2"/>
        <v>20</v>
      </c>
    </row>
    <row r="43" spans="1:7" x14ac:dyDescent="0.2">
      <c r="A43" s="27">
        <v>43495</v>
      </c>
      <c r="C43" t="s">
        <v>75</v>
      </c>
      <c r="D43">
        <v>10</v>
      </c>
      <c r="E43">
        <v>10</v>
      </c>
      <c r="F43">
        <v>2</v>
      </c>
      <c r="G43">
        <f t="shared" si="2"/>
        <v>200</v>
      </c>
    </row>
    <row r="44" spans="1:7" x14ac:dyDescent="0.2">
      <c r="A44" s="27">
        <v>43495</v>
      </c>
      <c r="C44" t="s">
        <v>75</v>
      </c>
      <c r="D44">
        <v>12.5</v>
      </c>
      <c r="E44">
        <v>10</v>
      </c>
      <c r="F44">
        <v>2</v>
      </c>
      <c r="G44">
        <f t="shared" si="2"/>
        <v>250</v>
      </c>
    </row>
    <row r="45" spans="1:7" x14ac:dyDescent="0.2">
      <c r="A45" s="27">
        <v>43495</v>
      </c>
      <c r="C45" t="s">
        <v>75</v>
      </c>
      <c r="D45">
        <v>15</v>
      </c>
      <c r="E45">
        <v>8</v>
      </c>
      <c r="F45">
        <v>2</v>
      </c>
      <c r="G45">
        <f t="shared" si="2"/>
        <v>240</v>
      </c>
    </row>
    <row r="46" spans="1:7" x14ac:dyDescent="0.2">
      <c r="A46" s="27">
        <v>43495</v>
      </c>
      <c r="C46" t="s">
        <v>103</v>
      </c>
      <c r="D46">
        <v>7.5</v>
      </c>
      <c r="E46">
        <v>10</v>
      </c>
      <c r="F46">
        <v>6</v>
      </c>
      <c r="G46">
        <f t="shared" si="2"/>
        <v>450</v>
      </c>
    </row>
    <row r="47" spans="1:7" x14ac:dyDescent="0.2">
      <c r="A47" s="27">
        <v>43495</v>
      </c>
      <c r="C47" t="s">
        <v>71</v>
      </c>
      <c r="D47">
        <v>30</v>
      </c>
      <c r="E47">
        <v>8</v>
      </c>
      <c r="F47">
        <v>3</v>
      </c>
      <c r="G47">
        <f t="shared" si="2"/>
        <v>720</v>
      </c>
    </row>
    <row r="48" spans="1:7" x14ac:dyDescent="0.2">
      <c r="A48" s="27">
        <v>43496</v>
      </c>
      <c r="C48" t="s">
        <v>77</v>
      </c>
      <c r="D48">
        <v>40</v>
      </c>
      <c r="E48">
        <v>12</v>
      </c>
      <c r="F48">
        <v>2</v>
      </c>
      <c r="G48">
        <f t="shared" si="2"/>
        <v>960</v>
      </c>
    </row>
    <row r="49" spans="1:7" x14ac:dyDescent="0.2">
      <c r="A49" s="27">
        <v>43496</v>
      </c>
      <c r="C49" t="s">
        <v>77</v>
      </c>
      <c r="D49">
        <v>45</v>
      </c>
      <c r="E49">
        <v>10</v>
      </c>
      <c r="F49">
        <v>2</v>
      </c>
      <c r="G49">
        <f t="shared" si="2"/>
        <v>900</v>
      </c>
    </row>
    <row r="50" spans="1:7" x14ac:dyDescent="0.2">
      <c r="A50" s="27">
        <v>43496</v>
      </c>
      <c r="C50" t="s">
        <v>77</v>
      </c>
      <c r="D50">
        <v>50</v>
      </c>
      <c r="E50">
        <v>8</v>
      </c>
      <c r="F50">
        <v>2</v>
      </c>
      <c r="G50">
        <f t="shared" si="2"/>
        <v>800</v>
      </c>
    </row>
    <row r="51" spans="1:7" x14ac:dyDescent="0.2">
      <c r="A51" s="27">
        <v>43496</v>
      </c>
      <c r="C51" t="s">
        <v>104</v>
      </c>
      <c r="E51">
        <v>10</v>
      </c>
      <c r="F51">
        <v>4</v>
      </c>
      <c r="G51">
        <f t="shared" si="2"/>
        <v>0</v>
      </c>
    </row>
    <row r="52" spans="1:7" x14ac:dyDescent="0.2">
      <c r="A52" s="27">
        <v>43496</v>
      </c>
      <c r="C52" t="s">
        <v>105</v>
      </c>
      <c r="E52">
        <v>10</v>
      </c>
      <c r="F52">
        <v>2</v>
      </c>
      <c r="G52">
        <f t="shared" si="2"/>
        <v>0</v>
      </c>
    </row>
    <row r="53" spans="1:7" x14ac:dyDescent="0.2">
      <c r="A53" s="27">
        <v>43496</v>
      </c>
      <c r="C53" t="s">
        <v>106</v>
      </c>
      <c r="D53">
        <v>20</v>
      </c>
      <c r="E53">
        <v>10</v>
      </c>
      <c r="F53">
        <v>4</v>
      </c>
      <c r="G53">
        <f t="shared" si="2"/>
        <v>800</v>
      </c>
    </row>
    <row r="54" spans="1:7" x14ac:dyDescent="0.2">
      <c r="A54" s="27">
        <v>43496</v>
      </c>
      <c r="C54" t="s">
        <v>107</v>
      </c>
      <c r="E54">
        <v>10</v>
      </c>
      <c r="F54">
        <v>4</v>
      </c>
      <c r="G54">
        <f t="shared" si="2"/>
        <v>0</v>
      </c>
    </row>
    <row r="55" spans="1:7" x14ac:dyDescent="0.2">
      <c r="A55" s="27">
        <v>43497</v>
      </c>
      <c r="C55" t="s">
        <v>109</v>
      </c>
      <c r="D55">
        <f>5*2+7.5</f>
        <v>17.5</v>
      </c>
      <c r="E55">
        <v>10</v>
      </c>
      <c r="F55">
        <v>4</v>
      </c>
      <c r="G55">
        <f t="shared" si="2"/>
        <v>700</v>
      </c>
    </row>
    <row r="56" spans="1:7" x14ac:dyDescent="0.2">
      <c r="A56" s="27">
        <v>43497</v>
      </c>
      <c r="C56" t="s">
        <v>109</v>
      </c>
      <c r="D56">
        <v>22.5</v>
      </c>
      <c r="E56">
        <v>10</v>
      </c>
      <c r="F56">
        <v>2</v>
      </c>
      <c r="G56">
        <f t="shared" si="2"/>
        <v>450</v>
      </c>
    </row>
    <row r="57" spans="1:7" x14ac:dyDescent="0.2">
      <c r="A57" s="27">
        <v>43497</v>
      </c>
      <c r="C57" t="s">
        <v>111</v>
      </c>
      <c r="D57">
        <v>7.5</v>
      </c>
      <c r="E57">
        <v>10</v>
      </c>
      <c r="F57">
        <v>3</v>
      </c>
      <c r="G57">
        <f t="shared" si="2"/>
        <v>225</v>
      </c>
    </row>
    <row r="58" spans="1:7" x14ac:dyDescent="0.2">
      <c r="A58" s="27">
        <v>43497</v>
      </c>
      <c r="C58" t="s">
        <v>111</v>
      </c>
      <c r="D58">
        <v>7.5</v>
      </c>
      <c r="E58">
        <v>8</v>
      </c>
      <c r="F58">
        <v>2</v>
      </c>
      <c r="G58">
        <f t="shared" si="2"/>
        <v>120</v>
      </c>
    </row>
    <row r="59" spans="1:7" x14ac:dyDescent="0.2">
      <c r="A59" s="27">
        <v>43497</v>
      </c>
      <c r="C59" t="s">
        <v>115</v>
      </c>
      <c r="E59">
        <v>10</v>
      </c>
      <c r="F59">
        <v>4</v>
      </c>
      <c r="G59">
        <f t="shared" si="2"/>
        <v>0</v>
      </c>
    </row>
    <row r="60" spans="1:7" x14ac:dyDescent="0.2">
      <c r="A60" s="27">
        <v>43497</v>
      </c>
      <c r="C60" t="s">
        <v>113</v>
      </c>
      <c r="E60">
        <v>10</v>
      </c>
      <c r="F60">
        <v>4</v>
      </c>
      <c r="G60">
        <f t="shared" si="2"/>
        <v>0</v>
      </c>
    </row>
    <row r="61" spans="1:7" x14ac:dyDescent="0.2">
      <c r="A61" s="27">
        <v>43497</v>
      </c>
      <c r="C61" t="s">
        <v>117</v>
      </c>
      <c r="E61">
        <v>10</v>
      </c>
      <c r="F61">
        <v>4</v>
      </c>
      <c r="G61">
        <f t="shared" si="2"/>
        <v>0</v>
      </c>
    </row>
    <row r="62" spans="1:7" x14ac:dyDescent="0.2">
      <c r="A62" s="27">
        <v>43498</v>
      </c>
      <c r="C62" t="s">
        <v>95</v>
      </c>
      <c r="D62">
        <v>30</v>
      </c>
      <c r="E62">
        <v>12</v>
      </c>
      <c r="F62">
        <v>1</v>
      </c>
      <c r="G62">
        <f t="shared" si="2"/>
        <v>360</v>
      </c>
    </row>
    <row r="63" spans="1:7" x14ac:dyDescent="0.2">
      <c r="A63" s="27">
        <v>43498</v>
      </c>
      <c r="C63" t="s">
        <v>95</v>
      </c>
      <c r="D63">
        <v>40</v>
      </c>
      <c r="E63">
        <v>10</v>
      </c>
      <c r="F63">
        <v>1</v>
      </c>
      <c r="G63">
        <f t="shared" si="2"/>
        <v>400</v>
      </c>
    </row>
    <row r="64" spans="1:7" x14ac:dyDescent="0.2">
      <c r="A64" s="27">
        <v>43498</v>
      </c>
      <c r="C64" t="s">
        <v>95</v>
      </c>
      <c r="D64">
        <v>50</v>
      </c>
      <c r="E64">
        <v>10</v>
      </c>
      <c r="F64">
        <v>3</v>
      </c>
      <c r="G64">
        <f t="shared" si="2"/>
        <v>1500</v>
      </c>
    </row>
    <row r="65" spans="1:7" x14ac:dyDescent="0.2">
      <c r="A65" s="27">
        <v>43498</v>
      </c>
      <c r="C65" t="s">
        <v>95</v>
      </c>
      <c r="D65">
        <v>55</v>
      </c>
      <c r="E65">
        <v>6</v>
      </c>
      <c r="F65">
        <v>3</v>
      </c>
      <c r="G65">
        <f t="shared" si="2"/>
        <v>990</v>
      </c>
    </row>
    <row r="66" spans="1:7" x14ac:dyDescent="0.2">
      <c r="A66" s="27">
        <v>43498</v>
      </c>
      <c r="C66" t="s">
        <v>96</v>
      </c>
      <c r="D66">
        <v>40</v>
      </c>
      <c r="E66">
        <v>8</v>
      </c>
      <c r="F66">
        <v>3</v>
      </c>
      <c r="G66">
        <f t="shared" si="2"/>
        <v>960</v>
      </c>
    </row>
    <row r="67" spans="1:7" x14ac:dyDescent="0.2">
      <c r="A67" s="27">
        <v>43498</v>
      </c>
      <c r="C67" t="s">
        <v>96</v>
      </c>
      <c r="D67">
        <v>30</v>
      </c>
      <c r="E67">
        <v>12</v>
      </c>
      <c r="F67">
        <v>2</v>
      </c>
      <c r="G67">
        <f t="shared" si="2"/>
        <v>720</v>
      </c>
    </row>
    <row r="68" spans="1:7" x14ac:dyDescent="0.2">
      <c r="A68" s="27">
        <v>43498</v>
      </c>
      <c r="C68" t="s">
        <v>96</v>
      </c>
      <c r="G68">
        <f t="shared" si="2"/>
        <v>0</v>
      </c>
    </row>
    <row r="69" spans="1:7" x14ac:dyDescent="0.2">
      <c r="A69" s="27">
        <v>43498</v>
      </c>
      <c r="C69" t="s">
        <v>88</v>
      </c>
      <c r="D69">
        <v>15</v>
      </c>
      <c r="E69">
        <v>7</v>
      </c>
      <c r="F69">
        <v>2</v>
      </c>
      <c r="G69">
        <f t="shared" si="2"/>
        <v>210</v>
      </c>
    </row>
    <row r="70" spans="1:7" x14ac:dyDescent="0.2">
      <c r="A70" s="27">
        <v>43498</v>
      </c>
      <c r="C70" t="s">
        <v>88</v>
      </c>
      <c r="D70">
        <v>15</v>
      </c>
      <c r="E70">
        <v>8</v>
      </c>
      <c r="F70">
        <v>3</v>
      </c>
      <c r="G70">
        <f t="shared" si="2"/>
        <v>360</v>
      </c>
    </row>
    <row r="71" spans="1:7" x14ac:dyDescent="0.2">
      <c r="A71" s="27">
        <v>43498</v>
      </c>
      <c r="C71" t="s">
        <v>90</v>
      </c>
      <c r="D71">
        <v>15</v>
      </c>
      <c r="E71">
        <v>10</v>
      </c>
      <c r="F71">
        <v>2</v>
      </c>
      <c r="G71">
        <f t="shared" si="2"/>
        <v>300</v>
      </c>
    </row>
    <row r="72" spans="1:7" x14ac:dyDescent="0.2">
      <c r="A72" s="27">
        <v>43498</v>
      </c>
      <c r="C72" t="s">
        <v>90</v>
      </c>
      <c r="G72">
        <f t="shared" si="2"/>
        <v>0</v>
      </c>
    </row>
    <row r="73" spans="1:7" x14ac:dyDescent="0.2">
      <c r="A73" s="27">
        <v>43498</v>
      </c>
      <c r="C73" t="s">
        <v>97</v>
      </c>
      <c r="E73">
        <v>10</v>
      </c>
      <c r="F73">
        <v>4</v>
      </c>
      <c r="G73">
        <f t="shared" si="2"/>
        <v>0</v>
      </c>
    </row>
    <row r="74" spans="1:7" x14ac:dyDescent="0.2">
      <c r="A74" s="27">
        <v>43514</v>
      </c>
      <c r="C74" t="s">
        <v>82</v>
      </c>
      <c r="D74">
        <f>20+0</f>
        <v>20</v>
      </c>
      <c r="E74">
        <v>12</v>
      </c>
      <c r="F74">
        <v>1</v>
      </c>
      <c r="G74">
        <f t="shared" si="2"/>
        <v>240</v>
      </c>
    </row>
    <row r="75" spans="1:7" x14ac:dyDescent="0.2">
      <c r="A75" s="27">
        <v>43514</v>
      </c>
      <c r="C75" t="s">
        <v>82</v>
      </c>
      <c r="D75">
        <f>20+10</f>
        <v>30</v>
      </c>
      <c r="E75">
        <v>12</v>
      </c>
      <c r="F75">
        <v>1</v>
      </c>
      <c r="G75">
        <f t="shared" si="2"/>
        <v>360</v>
      </c>
    </row>
    <row r="76" spans="1:7" x14ac:dyDescent="0.2">
      <c r="A76" s="27">
        <v>43514</v>
      </c>
      <c r="C76" t="s">
        <v>82</v>
      </c>
      <c r="D76">
        <f>20+20</f>
        <v>40</v>
      </c>
      <c r="E76">
        <v>12</v>
      </c>
      <c r="F76">
        <v>1</v>
      </c>
      <c r="G76">
        <f t="shared" si="2"/>
        <v>480</v>
      </c>
    </row>
    <row r="77" spans="1:7" x14ac:dyDescent="0.2">
      <c r="A77" s="27">
        <v>43514</v>
      </c>
      <c r="C77" t="s">
        <v>82</v>
      </c>
      <c r="D77">
        <f>20+30</f>
        <v>50</v>
      </c>
      <c r="E77">
        <v>12</v>
      </c>
      <c r="F77">
        <v>1</v>
      </c>
      <c r="G77">
        <f t="shared" si="2"/>
        <v>600</v>
      </c>
    </row>
    <row r="78" spans="1:7" x14ac:dyDescent="0.2">
      <c r="A78" s="27">
        <v>43514</v>
      </c>
      <c r="C78" t="s">
        <v>82</v>
      </c>
      <c r="D78">
        <f>20+40</f>
        <v>60</v>
      </c>
      <c r="E78">
        <v>10</v>
      </c>
      <c r="F78">
        <v>2</v>
      </c>
      <c r="G78">
        <f t="shared" si="2"/>
        <v>1200</v>
      </c>
    </row>
    <row r="79" spans="1:7" x14ac:dyDescent="0.2">
      <c r="A79" s="27">
        <v>43514</v>
      </c>
      <c r="C79" t="s">
        <v>82</v>
      </c>
      <c r="D79">
        <f>20+50</f>
        <v>70</v>
      </c>
      <c r="E79">
        <v>8</v>
      </c>
      <c r="F79">
        <v>1</v>
      </c>
      <c r="G79">
        <f t="shared" si="2"/>
        <v>560</v>
      </c>
    </row>
    <row r="80" spans="1:7" x14ac:dyDescent="0.2">
      <c r="A80" s="27">
        <v>43514</v>
      </c>
      <c r="C80" t="s">
        <v>82</v>
      </c>
      <c r="D80">
        <f>20+55</f>
        <v>75</v>
      </c>
      <c r="E80">
        <v>6</v>
      </c>
      <c r="F80">
        <v>1</v>
      </c>
      <c r="G80">
        <f t="shared" si="2"/>
        <v>450</v>
      </c>
    </row>
    <row r="81" spans="1:7" x14ac:dyDescent="0.2">
      <c r="A81" s="27">
        <v>43514</v>
      </c>
      <c r="C81" t="s">
        <v>82</v>
      </c>
      <c r="D81">
        <f>20+45</f>
        <v>65</v>
      </c>
      <c r="E81">
        <v>10</v>
      </c>
      <c r="F81">
        <v>1</v>
      </c>
      <c r="G81">
        <f t="shared" si="2"/>
        <v>650</v>
      </c>
    </row>
    <row r="82" spans="1:7" x14ac:dyDescent="0.2">
      <c r="A82" s="27">
        <v>43514</v>
      </c>
      <c r="C82" t="s">
        <v>82</v>
      </c>
      <c r="D82">
        <f>20+30</f>
        <v>50</v>
      </c>
      <c r="E82">
        <v>10</v>
      </c>
      <c r="F82">
        <v>1</v>
      </c>
      <c r="G82">
        <f t="shared" si="2"/>
        <v>500</v>
      </c>
    </row>
    <row r="83" spans="1:7" x14ac:dyDescent="0.2">
      <c r="A83" s="27">
        <v>43514</v>
      </c>
      <c r="C83" t="s">
        <v>90</v>
      </c>
      <c r="D83">
        <v>15</v>
      </c>
      <c r="E83">
        <v>12</v>
      </c>
      <c r="F83">
        <v>4</v>
      </c>
      <c r="G83">
        <f t="shared" si="2"/>
        <v>720</v>
      </c>
    </row>
    <row r="84" spans="1:7" x14ac:dyDescent="0.2">
      <c r="A84" s="27">
        <v>43514</v>
      </c>
      <c r="C84" t="s">
        <v>96</v>
      </c>
      <c r="D84">
        <f>20+15</f>
        <v>35</v>
      </c>
      <c r="E84">
        <v>10</v>
      </c>
      <c r="F84">
        <v>2</v>
      </c>
      <c r="G84">
        <f t="shared" si="2"/>
        <v>700</v>
      </c>
    </row>
    <row r="85" spans="1:7" x14ac:dyDescent="0.2">
      <c r="A85" s="27">
        <v>43514</v>
      </c>
      <c r="C85" t="s">
        <v>96</v>
      </c>
      <c r="D85">
        <f>20+20</f>
        <v>40</v>
      </c>
      <c r="E85">
        <v>8</v>
      </c>
      <c r="F85">
        <v>2</v>
      </c>
      <c r="G85">
        <f t="shared" si="2"/>
        <v>640</v>
      </c>
    </row>
    <row r="86" spans="1:7" x14ac:dyDescent="0.2">
      <c r="A86" s="27">
        <v>43514</v>
      </c>
      <c r="C86" t="s">
        <v>96</v>
      </c>
      <c r="D86">
        <f>20+25</f>
        <v>45</v>
      </c>
      <c r="E86">
        <v>7</v>
      </c>
      <c r="F86">
        <v>1</v>
      </c>
      <c r="G86">
        <f t="shared" si="2"/>
        <v>315</v>
      </c>
    </row>
    <row r="87" spans="1:7" x14ac:dyDescent="0.2">
      <c r="A87" s="27">
        <v>43514</v>
      </c>
      <c r="C87" t="s">
        <v>88</v>
      </c>
      <c r="D87">
        <v>12.5</v>
      </c>
      <c r="E87">
        <v>8</v>
      </c>
      <c r="F87">
        <v>4</v>
      </c>
      <c r="G87">
        <f t="shared" si="2"/>
        <v>400</v>
      </c>
    </row>
    <row r="88" spans="1:7" x14ac:dyDescent="0.2">
      <c r="A88" s="27">
        <v>43514</v>
      </c>
      <c r="C88" t="s">
        <v>95</v>
      </c>
      <c r="D88">
        <f>20+45</f>
        <v>65</v>
      </c>
      <c r="E88">
        <v>4</v>
      </c>
      <c r="F88">
        <v>1</v>
      </c>
      <c r="G88">
        <f t="shared" ref="G88:G135" si="3">D88*E88*F88</f>
        <v>260</v>
      </c>
    </row>
    <row r="89" spans="1:7" x14ac:dyDescent="0.2">
      <c r="A89" s="27">
        <v>43514</v>
      </c>
      <c r="C89" t="s">
        <v>95</v>
      </c>
      <c r="D89">
        <f>20+40</f>
        <v>60</v>
      </c>
      <c r="E89">
        <v>5</v>
      </c>
      <c r="F89">
        <v>2</v>
      </c>
      <c r="G89">
        <f t="shared" si="3"/>
        <v>600</v>
      </c>
    </row>
    <row r="90" spans="1:7" x14ac:dyDescent="0.2">
      <c r="A90" s="27">
        <v>43514</v>
      </c>
      <c r="C90" t="s">
        <v>95</v>
      </c>
      <c r="D90">
        <f>20+35</f>
        <v>55</v>
      </c>
      <c r="E90">
        <v>6</v>
      </c>
      <c r="F90">
        <v>2</v>
      </c>
      <c r="G90">
        <f t="shared" si="3"/>
        <v>660</v>
      </c>
    </row>
    <row r="91" spans="1:7" x14ac:dyDescent="0.2">
      <c r="A91" s="27">
        <v>43514</v>
      </c>
      <c r="C91" t="s">
        <v>95</v>
      </c>
      <c r="D91">
        <f>20+30</f>
        <v>50</v>
      </c>
      <c r="E91">
        <v>8</v>
      </c>
      <c r="F91">
        <v>2</v>
      </c>
      <c r="G91">
        <f t="shared" si="3"/>
        <v>800</v>
      </c>
    </row>
    <row r="92" spans="1:7" x14ac:dyDescent="0.2">
      <c r="A92" s="27">
        <v>43514</v>
      </c>
      <c r="C92" t="s">
        <v>90</v>
      </c>
      <c r="D92">
        <v>15</v>
      </c>
      <c r="E92">
        <v>8</v>
      </c>
      <c r="F92">
        <v>4</v>
      </c>
      <c r="G92">
        <f t="shared" si="3"/>
        <v>480</v>
      </c>
    </row>
    <row r="93" spans="1:7" x14ac:dyDescent="0.2">
      <c r="A93" s="27">
        <v>43515</v>
      </c>
      <c r="C93" t="s">
        <v>75</v>
      </c>
      <c r="D93">
        <v>12.5</v>
      </c>
      <c r="E93">
        <v>10</v>
      </c>
      <c r="F93">
        <v>4</v>
      </c>
      <c r="G93">
        <f t="shared" si="3"/>
        <v>500</v>
      </c>
    </row>
    <row r="94" spans="1:7" x14ac:dyDescent="0.2">
      <c r="A94" s="27">
        <v>43515</v>
      </c>
      <c r="C94" t="s">
        <v>75</v>
      </c>
      <c r="D94">
        <v>15</v>
      </c>
      <c r="E94">
        <v>8</v>
      </c>
      <c r="F94">
        <v>2</v>
      </c>
      <c r="G94">
        <f t="shared" si="3"/>
        <v>240</v>
      </c>
    </row>
    <row r="95" spans="1:7" x14ac:dyDescent="0.2">
      <c r="A95" s="27">
        <v>43515</v>
      </c>
      <c r="C95" t="s">
        <v>142</v>
      </c>
      <c r="D95">
        <v>7.5</v>
      </c>
      <c r="E95">
        <v>8</v>
      </c>
      <c r="F95">
        <v>4</v>
      </c>
      <c r="G95">
        <f t="shared" si="3"/>
        <v>240</v>
      </c>
    </row>
    <row r="96" spans="1:7" x14ac:dyDescent="0.2">
      <c r="A96" s="27">
        <v>43515</v>
      </c>
      <c r="C96" t="s">
        <v>142</v>
      </c>
      <c r="D96">
        <v>5</v>
      </c>
      <c r="E96">
        <v>10</v>
      </c>
      <c r="F96">
        <v>4</v>
      </c>
      <c r="G96">
        <f t="shared" si="3"/>
        <v>200</v>
      </c>
    </row>
    <row r="97" spans="1:7" x14ac:dyDescent="0.2">
      <c r="A97" s="27">
        <v>43515</v>
      </c>
      <c r="C97" t="s">
        <v>144</v>
      </c>
      <c r="D97">
        <v>5</v>
      </c>
      <c r="E97">
        <v>10</v>
      </c>
      <c r="F97">
        <v>4</v>
      </c>
      <c r="G97">
        <f t="shared" si="3"/>
        <v>200</v>
      </c>
    </row>
    <row r="98" spans="1:7" x14ac:dyDescent="0.2">
      <c r="A98" s="27">
        <v>43515</v>
      </c>
      <c r="C98" t="s">
        <v>71</v>
      </c>
      <c r="D98">
        <f>15+10</f>
        <v>25</v>
      </c>
      <c r="E98">
        <v>6</v>
      </c>
      <c r="F98">
        <v>3</v>
      </c>
      <c r="G98">
        <f t="shared" si="3"/>
        <v>450</v>
      </c>
    </row>
    <row r="99" spans="1:7" x14ac:dyDescent="0.2">
      <c r="A99" s="27">
        <v>43516</v>
      </c>
      <c r="C99" t="s">
        <v>77</v>
      </c>
      <c r="D99">
        <f>15+20</f>
        <v>35</v>
      </c>
      <c r="E99">
        <v>12</v>
      </c>
      <c r="F99">
        <v>4</v>
      </c>
      <c r="G99">
        <f t="shared" si="3"/>
        <v>1680</v>
      </c>
    </row>
    <row r="100" spans="1:7" x14ac:dyDescent="0.2">
      <c r="A100" s="27">
        <v>43516</v>
      </c>
      <c r="B100" s="27">
        <v>43517</v>
      </c>
      <c r="C100" t="s">
        <v>77</v>
      </c>
      <c r="D100">
        <f>15+30</f>
        <v>45</v>
      </c>
      <c r="E100">
        <v>7</v>
      </c>
      <c r="F100">
        <v>2</v>
      </c>
      <c r="G100">
        <f t="shared" si="3"/>
        <v>630</v>
      </c>
    </row>
    <row r="101" spans="1:7" x14ac:dyDescent="0.2">
      <c r="A101" s="27">
        <v>43516</v>
      </c>
      <c r="C101" t="s">
        <v>135</v>
      </c>
      <c r="E101">
        <v>5</v>
      </c>
      <c r="F101">
        <v>4</v>
      </c>
      <c r="G101">
        <f t="shared" si="3"/>
        <v>0</v>
      </c>
    </row>
    <row r="102" spans="1:7" x14ac:dyDescent="0.2">
      <c r="A102" s="27">
        <v>43516</v>
      </c>
      <c r="C102" t="s">
        <v>104</v>
      </c>
      <c r="D102" t="s">
        <v>137</v>
      </c>
      <c r="E102">
        <v>10</v>
      </c>
      <c r="F102">
        <v>4</v>
      </c>
      <c r="G102" t="e">
        <f t="shared" si="3"/>
        <v>#VALUE!</v>
      </c>
    </row>
    <row r="103" spans="1:7" x14ac:dyDescent="0.2">
      <c r="A103" s="27">
        <v>43516</v>
      </c>
      <c r="C103" t="s">
        <v>138</v>
      </c>
      <c r="D103">
        <v>-4</v>
      </c>
      <c r="E103">
        <v>12</v>
      </c>
      <c r="F103">
        <v>5</v>
      </c>
      <c r="G103">
        <f t="shared" si="3"/>
        <v>-240</v>
      </c>
    </row>
    <row r="104" spans="1:7" x14ac:dyDescent="0.2">
      <c r="A104" s="27">
        <v>43517</v>
      </c>
      <c r="C104" t="s">
        <v>109</v>
      </c>
      <c r="D104">
        <f>5+10</f>
        <v>15</v>
      </c>
      <c r="E104">
        <v>10</v>
      </c>
      <c r="F104">
        <v>4</v>
      </c>
      <c r="G104">
        <f t="shared" si="3"/>
        <v>600</v>
      </c>
    </row>
    <row r="105" spans="1:7" x14ac:dyDescent="0.2">
      <c r="A105" s="27">
        <v>43517</v>
      </c>
      <c r="C105" t="s">
        <v>109</v>
      </c>
      <c r="D105">
        <f>5+15</f>
        <v>20</v>
      </c>
      <c r="E105">
        <v>8</v>
      </c>
      <c r="F105">
        <v>2</v>
      </c>
      <c r="G105">
        <f t="shared" si="3"/>
        <v>320</v>
      </c>
    </row>
    <row r="106" spans="1:7" x14ac:dyDescent="0.2">
      <c r="A106" s="27">
        <v>43517</v>
      </c>
      <c r="C106" t="s">
        <v>109</v>
      </c>
      <c r="D106">
        <f>5+15</f>
        <v>20</v>
      </c>
      <c r="E106">
        <v>6</v>
      </c>
      <c r="F106">
        <v>1</v>
      </c>
      <c r="G106">
        <f t="shared" si="3"/>
        <v>120</v>
      </c>
    </row>
    <row r="107" spans="1:7" x14ac:dyDescent="0.2">
      <c r="A107" s="27">
        <v>43517</v>
      </c>
      <c r="C107" t="s">
        <v>111</v>
      </c>
      <c r="D107">
        <v>7.5</v>
      </c>
      <c r="E107">
        <v>10</v>
      </c>
      <c r="F107">
        <v>2</v>
      </c>
      <c r="G107">
        <f t="shared" si="3"/>
        <v>150</v>
      </c>
    </row>
    <row r="108" spans="1:7" x14ac:dyDescent="0.2">
      <c r="A108" s="27">
        <v>43517</v>
      </c>
      <c r="C108" t="s">
        <v>111</v>
      </c>
      <c r="D108">
        <v>7.5</v>
      </c>
      <c r="E108">
        <v>8</v>
      </c>
      <c r="F108">
        <v>2</v>
      </c>
      <c r="G108">
        <f t="shared" si="3"/>
        <v>120</v>
      </c>
    </row>
    <row r="109" spans="1:7" x14ac:dyDescent="0.2">
      <c r="A109" s="27">
        <v>43517</v>
      </c>
      <c r="C109" t="s">
        <v>140</v>
      </c>
      <c r="D109" t="s">
        <v>137</v>
      </c>
      <c r="E109">
        <v>12</v>
      </c>
      <c r="F109">
        <v>4</v>
      </c>
      <c r="G109" t="e">
        <f t="shared" si="3"/>
        <v>#VALUE!</v>
      </c>
    </row>
    <row r="110" spans="1:7" x14ac:dyDescent="0.2">
      <c r="A110" s="27">
        <v>43517</v>
      </c>
      <c r="C110" t="s">
        <v>117</v>
      </c>
      <c r="D110">
        <v>4.5</v>
      </c>
      <c r="E110">
        <v>10</v>
      </c>
      <c r="F110">
        <v>4</v>
      </c>
      <c r="G110">
        <f t="shared" si="3"/>
        <v>180</v>
      </c>
    </row>
    <row r="111" spans="1:7" x14ac:dyDescent="0.2">
      <c r="A111" s="27">
        <v>43518</v>
      </c>
      <c r="C111" t="s">
        <v>96</v>
      </c>
      <c r="D111">
        <f>15+10</f>
        <v>25</v>
      </c>
      <c r="E111">
        <v>12</v>
      </c>
      <c r="F111">
        <v>1</v>
      </c>
      <c r="G111">
        <f t="shared" si="3"/>
        <v>300</v>
      </c>
    </row>
    <row r="112" spans="1:7" x14ac:dyDescent="0.2">
      <c r="A112" s="27">
        <v>43518</v>
      </c>
      <c r="C112" t="s">
        <v>96</v>
      </c>
      <c r="D112">
        <f>15+20</f>
        <v>35</v>
      </c>
      <c r="E112">
        <v>10</v>
      </c>
      <c r="F112">
        <v>4</v>
      </c>
      <c r="G112">
        <f t="shared" si="3"/>
        <v>1400</v>
      </c>
    </row>
    <row r="113" spans="1:7" x14ac:dyDescent="0.2">
      <c r="A113" s="27">
        <v>43518</v>
      </c>
      <c r="C113" t="s">
        <v>96</v>
      </c>
      <c r="D113">
        <f>15+25</f>
        <v>40</v>
      </c>
      <c r="E113">
        <v>8</v>
      </c>
      <c r="F113">
        <v>3</v>
      </c>
      <c r="G113">
        <f t="shared" si="3"/>
        <v>960</v>
      </c>
    </row>
    <row r="114" spans="1:7" x14ac:dyDescent="0.2">
      <c r="A114" s="27">
        <v>43518</v>
      </c>
      <c r="C114" t="s">
        <v>96</v>
      </c>
      <c r="D114">
        <f>15+25</f>
        <v>40</v>
      </c>
      <c r="E114">
        <v>6</v>
      </c>
      <c r="F114">
        <v>1</v>
      </c>
      <c r="G114">
        <f t="shared" si="3"/>
        <v>240</v>
      </c>
    </row>
    <row r="115" spans="1:7" x14ac:dyDescent="0.2">
      <c r="A115" s="27">
        <v>43518</v>
      </c>
      <c r="C115" t="s">
        <v>96</v>
      </c>
      <c r="D115">
        <f>15+25</f>
        <v>40</v>
      </c>
      <c r="E115">
        <v>10</v>
      </c>
      <c r="F115">
        <v>1</v>
      </c>
      <c r="G115">
        <f t="shared" si="3"/>
        <v>400</v>
      </c>
    </row>
    <row r="116" spans="1:7" x14ac:dyDescent="0.2">
      <c r="A116" s="27">
        <v>43518</v>
      </c>
      <c r="C116" t="s">
        <v>88</v>
      </c>
      <c r="D116">
        <v>15</v>
      </c>
      <c r="E116">
        <v>8</v>
      </c>
      <c r="F116">
        <v>1</v>
      </c>
      <c r="G116">
        <f t="shared" si="3"/>
        <v>120</v>
      </c>
    </row>
    <row r="117" spans="1:7" x14ac:dyDescent="0.2">
      <c r="A117" s="27">
        <v>43518</v>
      </c>
      <c r="C117" t="s">
        <v>88</v>
      </c>
      <c r="D117">
        <v>12.5</v>
      </c>
      <c r="E117">
        <v>10</v>
      </c>
      <c r="F117">
        <v>3</v>
      </c>
      <c r="G117">
        <f t="shared" si="3"/>
        <v>375</v>
      </c>
    </row>
    <row r="118" spans="1:7" x14ac:dyDescent="0.2">
      <c r="A118" s="27">
        <v>43518</v>
      </c>
      <c r="C118" t="s">
        <v>88</v>
      </c>
      <c r="D118">
        <v>12.5</v>
      </c>
      <c r="E118">
        <v>8</v>
      </c>
      <c r="F118">
        <v>1</v>
      </c>
      <c r="G118">
        <f t="shared" si="3"/>
        <v>100</v>
      </c>
    </row>
    <row r="119" spans="1:7" x14ac:dyDescent="0.2">
      <c r="A119" s="27">
        <v>43518</v>
      </c>
      <c r="C119" t="s">
        <v>75</v>
      </c>
      <c r="D119">
        <v>12.5</v>
      </c>
      <c r="E119">
        <v>6</v>
      </c>
      <c r="F119">
        <v>1</v>
      </c>
      <c r="G119">
        <f t="shared" si="3"/>
        <v>75</v>
      </c>
    </row>
    <row r="120" spans="1:7" x14ac:dyDescent="0.2">
      <c r="A120" s="27">
        <v>43518</v>
      </c>
      <c r="C120" t="s">
        <v>75</v>
      </c>
      <c r="D120">
        <v>10</v>
      </c>
      <c r="E120">
        <v>10</v>
      </c>
      <c r="F120">
        <v>2</v>
      </c>
      <c r="G120">
        <f t="shared" si="3"/>
        <v>200</v>
      </c>
    </row>
    <row r="121" spans="1:7" x14ac:dyDescent="0.2">
      <c r="A121" s="27">
        <v>43518</v>
      </c>
      <c r="C121" t="s">
        <v>75</v>
      </c>
      <c r="D121">
        <v>10</v>
      </c>
      <c r="E121">
        <v>9</v>
      </c>
      <c r="F121">
        <v>1</v>
      </c>
      <c r="G121">
        <f t="shared" si="3"/>
        <v>90</v>
      </c>
    </row>
    <row r="122" spans="1:7" x14ac:dyDescent="0.2">
      <c r="A122" s="27">
        <v>43521</v>
      </c>
      <c r="C122" t="s">
        <v>84</v>
      </c>
      <c r="D122">
        <f>7.5+15*2</f>
        <v>37.5</v>
      </c>
      <c r="E122">
        <v>12</v>
      </c>
      <c r="F122">
        <v>1</v>
      </c>
      <c r="G122">
        <f t="shared" si="3"/>
        <v>450</v>
      </c>
    </row>
    <row r="123" spans="1:7" x14ac:dyDescent="0.2">
      <c r="A123" s="27">
        <v>43521</v>
      </c>
      <c r="C123" t="s">
        <v>84</v>
      </c>
      <c r="D123">
        <v>65</v>
      </c>
      <c r="E123">
        <v>10</v>
      </c>
      <c r="F123">
        <v>3</v>
      </c>
      <c r="G123">
        <f t="shared" si="3"/>
        <v>1950</v>
      </c>
    </row>
    <row r="124" spans="1:7" x14ac:dyDescent="0.2">
      <c r="A124" s="27">
        <v>43521</v>
      </c>
      <c r="C124" t="s">
        <v>84</v>
      </c>
      <c r="D124">
        <f>7.5+15*4</f>
        <v>67.5</v>
      </c>
      <c r="E124">
        <v>10</v>
      </c>
      <c r="F124">
        <v>2</v>
      </c>
      <c r="G124">
        <f t="shared" si="3"/>
        <v>1350</v>
      </c>
    </row>
    <row r="125" spans="1:7" x14ac:dyDescent="0.2">
      <c r="A125" s="27">
        <v>43521</v>
      </c>
      <c r="C125" t="s">
        <v>84</v>
      </c>
      <c r="D125">
        <f>7.5+15*4+5*2</f>
        <v>77.5</v>
      </c>
      <c r="E125">
        <v>8</v>
      </c>
      <c r="F125">
        <v>2</v>
      </c>
      <c r="G125">
        <f t="shared" si="3"/>
        <v>1240</v>
      </c>
    </row>
    <row r="126" spans="1:7" x14ac:dyDescent="0.2">
      <c r="A126" s="27">
        <v>43521</v>
      </c>
      <c r="C126" t="s">
        <v>84</v>
      </c>
      <c r="D126">
        <f>7.5+15*4+10*2</f>
        <v>87.5</v>
      </c>
      <c r="E126">
        <v>6</v>
      </c>
      <c r="F126">
        <v>1</v>
      </c>
      <c r="G126">
        <f t="shared" si="3"/>
        <v>525</v>
      </c>
    </row>
    <row r="127" spans="1:7" x14ac:dyDescent="0.2">
      <c r="A127" s="27">
        <v>43521</v>
      </c>
      <c r="C127" t="s">
        <v>84</v>
      </c>
      <c r="D127">
        <f>15+20*4</f>
        <v>95</v>
      </c>
      <c r="E127">
        <v>4</v>
      </c>
      <c r="F127">
        <v>3</v>
      </c>
      <c r="G127">
        <f t="shared" si="3"/>
        <v>1140</v>
      </c>
    </row>
    <row r="128" spans="1:7" x14ac:dyDescent="0.2">
      <c r="A128" s="27">
        <v>43521</v>
      </c>
      <c r="C128" t="s">
        <v>84</v>
      </c>
      <c r="D128">
        <f>7.5+15*4</f>
        <v>67.5</v>
      </c>
      <c r="E128">
        <v>8</v>
      </c>
      <c r="F128">
        <v>1</v>
      </c>
      <c r="G128">
        <f t="shared" si="3"/>
        <v>540</v>
      </c>
    </row>
    <row r="129" spans="1:7" x14ac:dyDescent="0.2">
      <c r="A129" s="27">
        <v>65437</v>
      </c>
      <c r="C129" t="s">
        <v>88</v>
      </c>
      <c r="D129">
        <v>10</v>
      </c>
      <c r="E129">
        <v>14</v>
      </c>
      <c r="F129">
        <v>1</v>
      </c>
      <c r="G129">
        <f t="shared" si="3"/>
        <v>140</v>
      </c>
    </row>
    <row r="130" spans="1:7" x14ac:dyDescent="0.2">
      <c r="A130" s="27">
        <v>65437</v>
      </c>
      <c r="C130" t="s">
        <v>88</v>
      </c>
      <c r="D130">
        <v>15</v>
      </c>
      <c r="E130">
        <v>10</v>
      </c>
      <c r="F130">
        <v>4</v>
      </c>
      <c r="G130">
        <f t="shared" si="3"/>
        <v>600</v>
      </c>
    </row>
    <row r="131" spans="1:7" x14ac:dyDescent="0.2">
      <c r="A131" s="27">
        <v>65437</v>
      </c>
      <c r="C131" t="s">
        <v>88</v>
      </c>
      <c r="D131">
        <v>12.5</v>
      </c>
      <c r="E131">
        <v>12</v>
      </c>
      <c r="F131">
        <v>10</v>
      </c>
      <c r="G131">
        <f t="shared" si="3"/>
        <v>1500</v>
      </c>
    </row>
    <row r="132" spans="1:7" x14ac:dyDescent="0.2">
      <c r="A132" s="27">
        <v>65437</v>
      </c>
      <c r="C132" t="s">
        <v>96</v>
      </c>
      <c r="D132">
        <f>15+20</f>
        <v>35</v>
      </c>
      <c r="E132">
        <v>10</v>
      </c>
      <c r="F132">
        <v>5</v>
      </c>
      <c r="G132">
        <f t="shared" si="3"/>
        <v>1750</v>
      </c>
    </row>
    <row r="133" spans="1:7" x14ac:dyDescent="0.2">
      <c r="A133" s="27">
        <v>65437</v>
      </c>
      <c r="C133" t="s">
        <v>95</v>
      </c>
      <c r="D133">
        <f>15+30</f>
        <v>45</v>
      </c>
      <c r="E133">
        <v>8</v>
      </c>
      <c r="F133">
        <v>1</v>
      </c>
      <c r="G133">
        <f t="shared" si="3"/>
        <v>360</v>
      </c>
    </row>
    <row r="134" spans="1:7" x14ac:dyDescent="0.2">
      <c r="A134" s="27">
        <v>65437</v>
      </c>
      <c r="C134" t="s">
        <v>95</v>
      </c>
      <c r="D134">
        <f>15+20</f>
        <v>35</v>
      </c>
      <c r="E134">
        <v>8</v>
      </c>
      <c r="F134">
        <v>2</v>
      </c>
      <c r="G134">
        <f t="shared" si="3"/>
        <v>560</v>
      </c>
    </row>
    <row r="135" spans="1:7" x14ac:dyDescent="0.2">
      <c r="A135" s="27">
        <v>65437</v>
      </c>
      <c r="C135" t="s">
        <v>95</v>
      </c>
      <c r="D135">
        <f>15+20</f>
        <v>35</v>
      </c>
      <c r="E135">
        <v>10</v>
      </c>
      <c r="F135">
        <v>1</v>
      </c>
      <c r="G135">
        <f t="shared" si="3"/>
        <v>350</v>
      </c>
    </row>
    <row r="136" spans="1:7" x14ac:dyDescent="0.2">
      <c r="A136" s="27">
        <v>65437</v>
      </c>
      <c r="C136" t="s">
        <v>146</v>
      </c>
      <c r="D136">
        <v>1</v>
      </c>
      <c r="E136">
        <v>2</v>
      </c>
    </row>
    <row r="137" spans="1:7" x14ac:dyDescent="0.2">
      <c r="A137" s="27">
        <v>65437</v>
      </c>
      <c r="C137" t="s">
        <v>146</v>
      </c>
      <c r="D137">
        <v>2</v>
      </c>
      <c r="E137">
        <v>1</v>
      </c>
    </row>
    <row r="138" spans="1:7" x14ac:dyDescent="0.2">
      <c r="A138" s="27">
        <v>43523</v>
      </c>
      <c r="C138" t="s">
        <v>109</v>
      </c>
      <c r="D138">
        <f>15</f>
        <v>15</v>
      </c>
      <c r="E138">
        <v>14</v>
      </c>
      <c r="F138">
        <v>1</v>
      </c>
      <c r="G138">
        <f t="shared" ref="G138:G145" si="4">D138*E138*F138</f>
        <v>210</v>
      </c>
    </row>
    <row r="139" spans="1:7" x14ac:dyDescent="0.2">
      <c r="A139" s="27">
        <v>43523</v>
      </c>
      <c r="C139" t="s">
        <v>109</v>
      </c>
      <c r="D139">
        <f>15+5</f>
        <v>20</v>
      </c>
      <c r="E139">
        <v>10</v>
      </c>
      <c r="F139">
        <v>4</v>
      </c>
      <c r="G139">
        <f t="shared" si="4"/>
        <v>800</v>
      </c>
    </row>
    <row r="140" spans="1:7" x14ac:dyDescent="0.2">
      <c r="A140" s="27">
        <v>43523</v>
      </c>
      <c r="C140" t="s">
        <v>109</v>
      </c>
      <c r="D140">
        <f>15+5</f>
        <v>20</v>
      </c>
      <c r="E140">
        <v>7</v>
      </c>
      <c r="F140">
        <v>1</v>
      </c>
      <c r="G140">
        <f t="shared" si="4"/>
        <v>140</v>
      </c>
    </row>
    <row r="141" spans="1:7" x14ac:dyDescent="0.2">
      <c r="A141" s="27">
        <v>43523</v>
      </c>
      <c r="C141" t="s">
        <v>109</v>
      </c>
      <c r="D141">
        <f>15+5</f>
        <v>20</v>
      </c>
      <c r="E141">
        <v>8</v>
      </c>
      <c r="F141">
        <v>1</v>
      </c>
      <c r="G141">
        <f t="shared" si="4"/>
        <v>160</v>
      </c>
    </row>
    <row r="142" spans="1:7" x14ac:dyDescent="0.2">
      <c r="A142" s="27">
        <v>43523</v>
      </c>
      <c r="C142" t="s">
        <v>111</v>
      </c>
      <c r="D142">
        <f>5</f>
        <v>5</v>
      </c>
      <c r="E142">
        <v>10</v>
      </c>
      <c r="F142">
        <v>2</v>
      </c>
      <c r="G142">
        <f t="shared" si="4"/>
        <v>100</v>
      </c>
    </row>
    <row r="143" spans="1:7" x14ac:dyDescent="0.2">
      <c r="A143" s="27">
        <v>43523</v>
      </c>
      <c r="C143" t="s">
        <v>111</v>
      </c>
      <c r="D143">
        <v>7.5</v>
      </c>
      <c r="E143">
        <v>9</v>
      </c>
      <c r="F143">
        <v>1</v>
      </c>
      <c r="G143">
        <f t="shared" si="4"/>
        <v>67.5</v>
      </c>
    </row>
    <row r="144" spans="1:7" x14ac:dyDescent="0.2">
      <c r="A144" s="27">
        <v>43523</v>
      </c>
      <c r="C144" t="s">
        <v>111</v>
      </c>
      <c r="D144">
        <v>7.5</v>
      </c>
      <c r="E144">
        <v>8</v>
      </c>
      <c r="F144">
        <v>1</v>
      </c>
      <c r="G144">
        <f t="shared" si="4"/>
        <v>60</v>
      </c>
    </row>
    <row r="145" spans="1:7" x14ac:dyDescent="0.2">
      <c r="A145" s="27">
        <v>43523</v>
      </c>
      <c r="C145" t="s">
        <v>111</v>
      </c>
      <c r="D145">
        <v>7.5</v>
      </c>
      <c r="E145">
        <v>7</v>
      </c>
      <c r="F145">
        <v>1</v>
      </c>
      <c r="G145">
        <f t="shared" si="4"/>
        <v>52.5</v>
      </c>
    </row>
    <row r="146" spans="1:7" x14ac:dyDescent="0.2">
      <c r="A146" s="27">
        <v>43523</v>
      </c>
      <c r="C146" t="s">
        <v>113</v>
      </c>
      <c r="D146" t="s">
        <v>147</v>
      </c>
      <c r="E146">
        <v>12</v>
      </c>
      <c r="F146">
        <v>4</v>
      </c>
    </row>
    <row r="147" spans="1:7" x14ac:dyDescent="0.2">
      <c r="A147" s="27">
        <v>43523</v>
      </c>
      <c r="C147" t="s">
        <v>115</v>
      </c>
      <c r="D147">
        <v>2</v>
      </c>
      <c r="E147">
        <v>10</v>
      </c>
      <c r="F147">
        <v>1</v>
      </c>
    </row>
    <row r="148" spans="1:7" x14ac:dyDescent="0.2">
      <c r="A148" s="27">
        <v>43523</v>
      </c>
      <c r="C148" t="s">
        <v>115</v>
      </c>
      <c r="D148">
        <v>2</v>
      </c>
      <c r="E148">
        <v>8</v>
      </c>
      <c r="F148">
        <v>3</v>
      </c>
    </row>
    <row r="149" spans="1:7" x14ac:dyDescent="0.2">
      <c r="A149" s="27">
        <v>43523</v>
      </c>
      <c r="C149" t="s">
        <v>117</v>
      </c>
      <c r="D149">
        <v>4</v>
      </c>
      <c r="E149">
        <v>12</v>
      </c>
      <c r="F149">
        <v>1</v>
      </c>
    </row>
    <row r="150" spans="1:7" x14ac:dyDescent="0.2">
      <c r="A150" s="27">
        <v>43523</v>
      </c>
      <c r="C150" t="s">
        <v>117</v>
      </c>
      <c r="D150">
        <v>5</v>
      </c>
      <c r="E150">
        <v>12</v>
      </c>
      <c r="F150">
        <v>1</v>
      </c>
    </row>
    <row r="151" spans="1:7" x14ac:dyDescent="0.2">
      <c r="A151" s="27">
        <v>43523</v>
      </c>
      <c r="C151" t="s">
        <v>117</v>
      </c>
      <c r="D151">
        <v>6</v>
      </c>
      <c r="E151">
        <v>14</v>
      </c>
      <c r="F151">
        <v>1</v>
      </c>
    </row>
    <row r="152" spans="1:7" x14ac:dyDescent="0.2">
      <c r="A152" s="27">
        <v>43523</v>
      </c>
      <c r="C152" t="s">
        <v>117</v>
      </c>
      <c r="D152">
        <v>7</v>
      </c>
      <c r="E152">
        <v>11</v>
      </c>
      <c r="F15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'diary-2.0-list'!$A$2:$A$5</xm:f>
          </x14:formula1>
          <xm:sqref>C2:C8</xm:sqref>
        </x14:dataValidation>
        <x14:dataValidation type="list" allowBlank="1" showInputMessage="1" showErrorMessage="1" xr:uid="{00000000-0002-0000-0200-000001000000}">
          <x14:formula1>
            <xm:f>'diary-2.0-list'!$A$2:$A$13</xm:f>
          </x14:formula1>
          <xm:sqref>C9</xm:sqref>
        </x14:dataValidation>
        <x14:dataValidation type="list" allowBlank="1" showInputMessage="1" showErrorMessage="1" xr:uid="{00000000-0002-0000-0200-000002000000}">
          <x14:formula1>
            <xm:f>'diary-2.0-list'!$A$2:$A$19</xm:f>
          </x14:formula1>
          <xm:sqref>C10:C17</xm:sqref>
        </x14:dataValidation>
        <x14:dataValidation type="list" allowBlank="1" showInputMessage="1" showErrorMessage="1" xr:uid="{00000000-0002-0000-0200-000003000000}">
          <x14:formula1>
            <xm:f>'diary-2.0-list'!$A$2:$A$41</xm:f>
          </x14:formula1>
          <xm:sqref>C18:C209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opLeftCell="A4" zoomScale="160" zoomScaleNormal="160" workbookViewId="0">
      <selection activeCell="A7" sqref="A7"/>
    </sheetView>
  </sheetViews>
  <sheetFormatPr defaultColWidth="8.875" defaultRowHeight="14.25" x14ac:dyDescent="0.2"/>
  <cols>
    <col min="1" max="1" width="26.875" bestFit="1" customWidth="1"/>
  </cols>
  <sheetData>
    <row r="1" spans="1:1" x14ac:dyDescent="0.2">
      <c r="A1" t="s">
        <v>70</v>
      </c>
    </row>
    <row r="2" spans="1:1" x14ac:dyDescent="0.2">
      <c r="A2" t="s">
        <v>72</v>
      </c>
    </row>
    <row r="3" spans="1:1" x14ac:dyDescent="0.2">
      <c r="A3" t="s">
        <v>76</v>
      </c>
    </row>
    <row r="4" spans="1:1" x14ac:dyDescent="0.2">
      <c r="A4" t="s">
        <v>74</v>
      </c>
    </row>
    <row r="5" spans="1:1" x14ac:dyDescent="0.2">
      <c r="A5" t="s">
        <v>72</v>
      </c>
    </row>
    <row r="6" spans="1:1" x14ac:dyDescent="0.2">
      <c r="A6" t="s">
        <v>143</v>
      </c>
    </row>
    <row r="7" spans="1:1" x14ac:dyDescent="0.2">
      <c r="A7" t="s">
        <v>145</v>
      </c>
    </row>
    <row r="8" spans="1:1" x14ac:dyDescent="0.2">
      <c r="A8" t="s">
        <v>78</v>
      </c>
    </row>
    <row r="9" spans="1:1" x14ac:dyDescent="0.2">
      <c r="A9" t="s">
        <v>79</v>
      </c>
    </row>
    <row r="10" spans="1:1" x14ac:dyDescent="0.2">
      <c r="A10" t="s">
        <v>139</v>
      </c>
    </row>
    <row r="11" spans="1:1" x14ac:dyDescent="0.2">
      <c r="A11" t="s">
        <v>80</v>
      </c>
    </row>
    <row r="12" spans="1:1" x14ac:dyDescent="0.2">
      <c r="A12" s="30" t="s">
        <v>136</v>
      </c>
    </row>
    <row r="13" spans="1:1" x14ac:dyDescent="0.2">
      <c r="A13" t="s">
        <v>81</v>
      </c>
    </row>
    <row r="14" spans="1:1" x14ac:dyDescent="0.2">
      <c r="A14" t="s">
        <v>108</v>
      </c>
    </row>
    <row r="15" spans="1:1" x14ac:dyDescent="0.2">
      <c r="A15" t="s">
        <v>83</v>
      </c>
    </row>
    <row r="16" spans="1:1" x14ac:dyDescent="0.2">
      <c r="A16" t="s">
        <v>85</v>
      </c>
    </row>
    <row r="17" spans="1:1" x14ac:dyDescent="0.2">
      <c r="A17" t="s">
        <v>86</v>
      </c>
    </row>
    <row r="18" spans="1:1" x14ac:dyDescent="0.2">
      <c r="A18" t="s">
        <v>87</v>
      </c>
    </row>
    <row r="19" spans="1:1" x14ac:dyDescent="0.2">
      <c r="A19" t="s">
        <v>89</v>
      </c>
    </row>
    <row r="20" spans="1:1" x14ac:dyDescent="0.2">
      <c r="A20" t="s">
        <v>91</v>
      </c>
    </row>
    <row r="21" spans="1:1" x14ac:dyDescent="0.2">
      <c r="A21" t="s">
        <v>98</v>
      </c>
    </row>
    <row r="22" spans="1:1" x14ac:dyDescent="0.2">
      <c r="A22" t="s">
        <v>99</v>
      </c>
    </row>
    <row r="23" spans="1:1" x14ac:dyDescent="0.2">
      <c r="A23" t="s">
        <v>100</v>
      </c>
    </row>
    <row r="24" spans="1:1" x14ac:dyDescent="0.2">
      <c r="A24" t="s">
        <v>110</v>
      </c>
    </row>
    <row r="25" spans="1:1" x14ac:dyDescent="0.2">
      <c r="A25" t="s">
        <v>112</v>
      </c>
    </row>
    <row r="26" spans="1:1" x14ac:dyDescent="0.2">
      <c r="A26" t="s">
        <v>114</v>
      </c>
    </row>
    <row r="27" spans="1:1" x14ac:dyDescent="0.2">
      <c r="A27" t="s">
        <v>116</v>
      </c>
    </row>
    <row r="28" spans="1:1" x14ac:dyDescent="0.2">
      <c r="A28" t="s">
        <v>141</v>
      </c>
    </row>
    <row r="29" spans="1:1" x14ac:dyDescent="0.2">
      <c r="A29" t="s">
        <v>118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C1" sqref="C1"/>
    </sheetView>
  </sheetViews>
  <sheetFormatPr defaultColWidth="8.875" defaultRowHeight="14.25" x14ac:dyDescent="0.2"/>
  <cols>
    <col min="1" max="1" width="10" bestFit="1" customWidth="1"/>
  </cols>
  <sheetData>
    <row r="1" spans="1:2" x14ac:dyDescent="0.2">
      <c r="B1" t="s">
        <v>28</v>
      </c>
    </row>
    <row r="2" spans="1:2" x14ac:dyDescent="0.2">
      <c r="A2" s="27">
        <v>43494</v>
      </c>
      <c r="B2">
        <v>58.7</v>
      </c>
    </row>
    <row r="3" spans="1:2" x14ac:dyDescent="0.2">
      <c r="A3" s="27">
        <v>43496</v>
      </c>
      <c r="B3">
        <v>59.3</v>
      </c>
    </row>
    <row r="4" spans="1:2" x14ac:dyDescent="0.2">
      <c r="A4" s="27">
        <v>43497</v>
      </c>
      <c r="B4">
        <v>59.3</v>
      </c>
    </row>
    <row r="5" spans="1:2" x14ac:dyDescent="0.2">
      <c r="A5" s="27">
        <v>43498</v>
      </c>
      <c r="B5">
        <v>58.9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topLeftCell="A4" workbookViewId="0">
      <selection activeCell="F4" sqref="F4"/>
    </sheetView>
  </sheetViews>
  <sheetFormatPr defaultColWidth="11" defaultRowHeight="14.25" x14ac:dyDescent="0.2"/>
  <cols>
    <col min="2" max="2" width="13.625" customWidth="1"/>
    <col min="3" max="3" width="18" bestFit="1" customWidth="1"/>
    <col min="4" max="4" width="16.875" bestFit="1" customWidth="1"/>
    <col min="5" max="5" width="19" customWidth="1"/>
  </cols>
  <sheetData>
    <row r="1" spans="1:9" x14ac:dyDescent="0.2">
      <c r="B1" t="s">
        <v>119</v>
      </c>
      <c r="C1" t="s">
        <v>121</v>
      </c>
      <c r="D1" t="s">
        <v>120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</row>
    <row r="2" spans="1:9" ht="210" customHeight="1" x14ac:dyDescent="0.2">
      <c r="B2" s="43" t="s">
        <v>134</v>
      </c>
      <c r="C2" s="43"/>
      <c r="D2" s="43"/>
      <c r="E2" s="43"/>
      <c r="F2" s="43"/>
      <c r="G2" s="43"/>
      <c r="H2" s="43"/>
      <c r="I2" s="43"/>
    </row>
    <row r="3" spans="1:9" ht="85.5" x14ac:dyDescent="0.2">
      <c r="A3" s="29">
        <v>43514</v>
      </c>
      <c r="B3" s="2" t="s">
        <v>127</v>
      </c>
      <c r="C3" s="2" t="s">
        <v>128</v>
      </c>
      <c r="D3" s="2" t="s">
        <v>129</v>
      </c>
      <c r="E3" s="2" t="s">
        <v>130</v>
      </c>
      <c r="F3">
        <v>221.2</v>
      </c>
      <c r="G3">
        <v>54</v>
      </c>
      <c r="H3">
        <v>96.7</v>
      </c>
      <c r="I3">
        <v>1750</v>
      </c>
    </row>
    <row r="4" spans="1:9" ht="85.5" x14ac:dyDescent="0.2">
      <c r="A4" s="29">
        <v>43515</v>
      </c>
      <c r="B4" s="2" t="s">
        <v>127</v>
      </c>
      <c r="C4" s="2" t="s">
        <v>128</v>
      </c>
      <c r="D4" s="2" t="s">
        <v>129</v>
      </c>
      <c r="E4" s="2" t="s">
        <v>130</v>
      </c>
    </row>
    <row r="5" spans="1:9" ht="85.5" x14ac:dyDescent="0.2">
      <c r="A5" s="29">
        <v>43516</v>
      </c>
      <c r="B5" s="2" t="s">
        <v>127</v>
      </c>
      <c r="C5" s="2" t="s">
        <v>128</v>
      </c>
      <c r="D5" s="2" t="s">
        <v>129</v>
      </c>
      <c r="E5" s="2" t="s">
        <v>132</v>
      </c>
    </row>
    <row r="6" spans="1:9" ht="85.5" x14ac:dyDescent="0.2">
      <c r="A6" s="29">
        <v>43517</v>
      </c>
      <c r="B6" s="2" t="s">
        <v>127</v>
      </c>
      <c r="C6" s="2" t="s">
        <v>128</v>
      </c>
      <c r="D6" s="2" t="s">
        <v>131</v>
      </c>
      <c r="E6" s="2" t="s">
        <v>133</v>
      </c>
    </row>
    <row r="7" spans="1:9" ht="85.5" x14ac:dyDescent="0.2">
      <c r="A7" s="29">
        <v>43518</v>
      </c>
      <c r="B7" s="2" t="s">
        <v>127</v>
      </c>
      <c r="C7" s="2" t="s">
        <v>128</v>
      </c>
      <c r="D7" s="2" t="s">
        <v>131</v>
      </c>
      <c r="E7" s="2" t="s">
        <v>133</v>
      </c>
    </row>
    <row r="8" spans="1:9" x14ac:dyDescent="0.2">
      <c r="A8" s="28">
        <v>43519</v>
      </c>
    </row>
    <row r="9" spans="1:9" x14ac:dyDescent="0.2">
      <c r="A9" s="28">
        <v>43520</v>
      </c>
    </row>
    <row r="10" spans="1:9" x14ac:dyDescent="0.2">
      <c r="A10" s="29">
        <v>43521</v>
      </c>
    </row>
    <row r="11" spans="1:9" x14ac:dyDescent="0.2">
      <c r="A11" s="29">
        <v>43522</v>
      </c>
    </row>
    <row r="12" spans="1:9" x14ac:dyDescent="0.2">
      <c r="A12" s="29">
        <v>43523</v>
      </c>
    </row>
    <row r="13" spans="1:9" x14ac:dyDescent="0.2">
      <c r="A13" s="29">
        <v>43524</v>
      </c>
    </row>
    <row r="14" spans="1:9" x14ac:dyDescent="0.2">
      <c r="A14" s="29">
        <v>43525</v>
      </c>
    </row>
    <row r="15" spans="1:9" x14ac:dyDescent="0.2">
      <c r="A15" s="28">
        <v>43526</v>
      </c>
    </row>
    <row r="16" spans="1:9" x14ac:dyDescent="0.2">
      <c r="A16" s="28">
        <v>43527</v>
      </c>
    </row>
    <row r="17" spans="1:1" x14ac:dyDescent="0.2">
      <c r="A17" s="28">
        <v>43528</v>
      </c>
    </row>
    <row r="18" spans="1:1" x14ac:dyDescent="0.2">
      <c r="A18" s="28">
        <v>43529</v>
      </c>
    </row>
    <row r="19" spans="1:1" x14ac:dyDescent="0.2">
      <c r="A19" s="28">
        <v>43530</v>
      </c>
    </row>
    <row r="20" spans="1:1" x14ac:dyDescent="0.2">
      <c r="A20" s="28">
        <v>43531</v>
      </c>
    </row>
    <row r="21" spans="1:1" x14ac:dyDescent="0.2">
      <c r="A21" s="28">
        <v>43532</v>
      </c>
    </row>
    <row r="22" spans="1:1" x14ac:dyDescent="0.2">
      <c r="A22" s="28">
        <v>43533</v>
      </c>
    </row>
    <row r="23" spans="1:1" x14ac:dyDescent="0.2">
      <c r="A23" s="28">
        <v>43534</v>
      </c>
    </row>
    <row r="24" spans="1:1" x14ac:dyDescent="0.2">
      <c r="A24" s="28">
        <v>43535</v>
      </c>
    </row>
    <row r="25" spans="1:1" x14ac:dyDescent="0.2">
      <c r="A25" s="28">
        <v>43536</v>
      </c>
    </row>
    <row r="26" spans="1:1" x14ac:dyDescent="0.2">
      <c r="A26" s="28">
        <v>43537</v>
      </c>
    </row>
    <row r="27" spans="1:1" x14ac:dyDescent="0.2">
      <c r="A27" s="28">
        <v>43538</v>
      </c>
    </row>
    <row r="28" spans="1:1" x14ac:dyDescent="0.2">
      <c r="A28" s="28">
        <v>43539</v>
      </c>
    </row>
    <row r="29" spans="1:1" x14ac:dyDescent="0.2">
      <c r="A29" s="28">
        <v>43540</v>
      </c>
    </row>
    <row r="30" spans="1:1" x14ac:dyDescent="0.2">
      <c r="A30" s="28">
        <v>43541</v>
      </c>
    </row>
    <row r="31" spans="1:1" x14ac:dyDescent="0.2">
      <c r="A31" s="28">
        <v>43542</v>
      </c>
    </row>
    <row r="32" spans="1:1" x14ac:dyDescent="0.2">
      <c r="A32" s="28">
        <v>43543</v>
      </c>
    </row>
    <row r="33" spans="1:1" x14ac:dyDescent="0.2">
      <c r="A33" s="28">
        <v>43544</v>
      </c>
    </row>
  </sheetData>
  <mergeCells count="1">
    <mergeCell ref="B2:I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diary-1.0</vt:lpstr>
      <vt:lpstr>Sheet4</vt:lpstr>
      <vt:lpstr>diary-2.0</vt:lpstr>
      <vt:lpstr>diary-2.0-list</vt:lpstr>
      <vt:lpstr>measures</vt:lpstr>
      <vt:lpstr>food-plan-FEB-MAR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2019-02-27T09:17:39Z</dcterms:modified>
</cp:coreProperties>
</file>